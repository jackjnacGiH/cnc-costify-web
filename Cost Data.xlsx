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1" name="Data" state="visible" r:id="rId4"/>
    <sheet sheetId="4" name="Price" state="visible" r:id="rId5"/>
    <sheet sheetId="5" name="Edit" state="visible" r:id="rId6"/>
  </sheets>
  <calcPr calcId="171027"/>
</workbook>
</file>

<file path=xl/sharedStrings.xml><?xml version="1.0" encoding="utf-8"?>
<sst xmlns="http://schemas.openxmlformats.org/spreadsheetml/2006/main" count="1214" uniqueCount="336">
  <si>
    <t>Date</t>
  </si>
  <si>
    <t>Workpiece Name</t>
  </si>
  <si>
    <t>Material</t>
  </si>
  <si>
    <t>Material Weight</t>
  </si>
  <si>
    <t>Stock Mat Size (mm)</t>
  </si>
  <si>
    <t>Material Cost (THB)</t>
  </si>
  <si>
    <t>Coating/Hardness</t>
  </si>
  <si>
    <t>Coating Cost (THB)</t>
  </si>
  <si>
    <t>Surface Grinding</t>
  </si>
  <si>
    <t>Grinding Cost (THB)</t>
  </si>
  <si>
    <t>Wire Cut</t>
  </si>
  <si>
    <t>Wire Cut Cost (THB)</t>
  </si>
  <si>
    <t>CNC+Process (THB)</t>
  </si>
  <si>
    <t>Workpiece Price (THB)</t>
  </si>
  <si>
    <t>Price Note</t>
  </si>
  <si>
    <t>Sandblast Note</t>
  </si>
  <si>
    <t>10/22/2025, 7:13:33 PM</t>
  </si>
  <si>
    <t>AL_Base_1 Modify 13092025</t>
  </si>
  <si>
    <t>A5083</t>
  </si>
  <si>
    <t>(18.35kg.)</t>
  </si>
  <si>
    <t>25.00x300.00x920.00</t>
  </si>
  <si>
    <t>Anodize</t>
  </si>
  <si>
    <t>ไม่มี</t>
  </si>
  <si>
    <t/>
  </si>
  <si>
    <t>10/22/2025, 7:13:51 PM</t>
  </si>
  <si>
    <t>1.NID062025-PJ27-00-489</t>
  </si>
  <si>
    <t>A6061</t>
  </si>
  <si>
    <t>(18.33kg.)</t>
  </si>
  <si>
    <t>15.00x655.00x691.00</t>
  </si>
  <si>
    <t>10/22/2025, 7:31:08 PM</t>
  </si>
  <si>
    <t>(18.63kg.)</t>
  </si>
  <si>
    <t>10/22/2025, 7:35:28 PM</t>
  </si>
  <si>
    <t>(18.06kg.)</t>
  </si>
  <si>
    <t>10/22/2025, 7:35:41 PM</t>
  </si>
  <si>
    <t>3DDiecurlDi5</t>
  </si>
  <si>
    <t>(1.70kg.)</t>
  </si>
  <si>
    <t>35.00x120.00x150.00</t>
  </si>
  <si>
    <t>10/22/2025, 7:35:53 PM</t>
  </si>
  <si>
    <t>3Dpunch01</t>
  </si>
  <si>
    <t>ACRYLIC</t>
  </si>
  <si>
    <t>(0.77kg.)</t>
  </si>
  <si>
    <t>50.00x100.00x130.00</t>
  </si>
  <si>
    <t>10/22/2025, 7:36:10 PM</t>
  </si>
  <si>
    <t>SUS304</t>
  </si>
  <si>
    <t>(55.20kg.)</t>
  </si>
  <si>
    <t>10/22/2025, 7:36:34 PM</t>
  </si>
  <si>
    <t>Chape Ar Triangle Inf AR MP93 V1</t>
  </si>
  <si>
    <t>SS400</t>
  </si>
  <si>
    <t>(5.36kg.)</t>
  </si>
  <si>
    <t>50.14x97.10x140.16</t>
  </si>
  <si>
    <t>10/22/2025, 7:36:53 PM</t>
  </si>
  <si>
    <t>POM21</t>
  </si>
  <si>
    <t>SUS316</t>
  </si>
  <si>
    <t>(0.26kg.)</t>
  </si>
  <si>
    <t>⌀20.00 x 105.00</t>
  </si>
  <si>
    <t>10/22/2025, 7:37:12 PM</t>
  </si>
  <si>
    <t>VW_1K0 121 087R for 888.2</t>
  </si>
  <si>
    <t>BRASS</t>
  </si>
  <si>
    <t>(0.81kg.)</t>
  </si>
  <si>
    <t>⌀38.00 x 84.00</t>
  </si>
  <si>
    <t>10/22/2025, 7:37:28 PM</t>
  </si>
  <si>
    <t>VW_3D0 819 423 for 888.2</t>
  </si>
  <si>
    <t>TITANIUM</t>
  </si>
  <si>
    <t>⌀28.00 x 94.00</t>
  </si>
  <si>
    <t>10/25/2025, 3:21:18 PM</t>
  </si>
  <si>
    <t>1</t>
  </si>
  <si>
    <t>Bakelite</t>
  </si>
  <si>
    <t>(1.25kg.)</t>
  </si>
  <si>
    <t>400.00x300.00x8.00</t>
  </si>
  <si>
    <t>10/25/2025, 3:22:10 PM</t>
  </si>
  <si>
    <t>(0.78kg.)</t>
  </si>
  <si>
    <t>400.00x300.00x5.00</t>
  </si>
  <si>
    <t>10/25/2025, 3:23:24 PM</t>
  </si>
  <si>
    <t>(0.56kg.)</t>
  </si>
  <si>
    <t>75.00x384.00x15.00</t>
  </si>
  <si>
    <t>10/25/2025, 3:23:33 PM</t>
  </si>
  <si>
    <t>10/25/2025, 3:23:41 PM</t>
  </si>
  <si>
    <t>10/25/2025, 3:24:18 PM</t>
  </si>
  <si>
    <t>(0.23kg.)</t>
  </si>
  <si>
    <t>75.00x300.00x8.00</t>
  </si>
  <si>
    <t>10/25/2025, 3:24:26 PM</t>
  </si>
  <si>
    <t>10/27/2025, 9:22:27 AM</t>
  </si>
  <si>
    <t>5. Lock Shaft D8 (SUS304 - 2 EA)</t>
  </si>
  <si>
    <t>(0.08kg.)</t>
  </si>
  <si>
    <t>⌀13.00 x 80.00</t>
  </si>
  <si>
    <t>ราคาที่เสนอรวม Mat' แล้ว</t>
  </si>
  <si>
    <t>10/27/2025, 9:24:10 AM</t>
  </si>
  <si>
    <t>4. Position Hole (AL6061 - 2 EA)</t>
  </si>
  <si>
    <t>(0.16kg.)</t>
  </si>
  <si>
    <t>⌀50.00 x 30.00</t>
  </si>
  <si>
    <t>ตัดรูใน</t>
  </si>
  <si>
    <t>10/27/2025, 9:28:51 AM</t>
  </si>
  <si>
    <t>6. Pull Knob-D40 (AL6061 - 2 EA)</t>
  </si>
  <si>
    <t>(0.05kg.)</t>
  </si>
  <si>
    <t>⌀40.00 x 15.00</t>
  </si>
  <si>
    <t>10/27/2025, 9:32:46 AM</t>
  </si>
  <si>
    <t>9. Flang OD.70 (SUS304 - 4 EA)</t>
  </si>
  <si>
    <t>(2.22kg.)</t>
  </si>
  <si>
    <t>⌀70.00 x 72.00</t>
  </si>
  <si>
    <t>10/27/2025, 9:53:00 AM</t>
  </si>
  <si>
    <t>7. UL13-40 Housing (SUS304 - 2 EA)</t>
  </si>
  <si>
    <t>(0.12kg.)</t>
  </si>
  <si>
    <t>⌀20.00 x 47.00</t>
  </si>
  <si>
    <t>10/27/2025, 3:43:34 PM</t>
  </si>
  <si>
    <t>H003F1011A-901048280</t>
  </si>
  <si>
    <t>(0.10kg.)</t>
  </si>
  <si>
    <t>170.00x35.00x6.00</t>
  </si>
  <si>
    <t>ราคาที่เสนอ เฉพาะค่า CNC+Process ไม่รวม Mat'</t>
  </si>
  <si>
    <t>10/27/2025, 3:44:33 PM</t>
  </si>
  <si>
    <t>H0999K1032A-9017807000</t>
  </si>
  <si>
    <t>10/27/2025, 3:56:13 PM</t>
  </si>
  <si>
    <t>H062C0004A-9017898900</t>
  </si>
  <si>
    <t>(0.61kg.)</t>
  </si>
  <si>
    <t>361.00x21.00x30.00</t>
  </si>
  <si>
    <t>10/27/2025, 3:57:02 PM</t>
  </si>
  <si>
    <t>H062C0001A-9017898600</t>
  </si>
  <si>
    <t>10/27/2025, 4:07:31 PM</t>
  </si>
  <si>
    <t>H114G1001A-9017907100</t>
  </si>
  <si>
    <t>10/27/2025, 4:13:57 PM</t>
  </si>
  <si>
    <t>H062D1006A-901790500</t>
  </si>
  <si>
    <t>14.00x60.00x100.00</t>
  </si>
  <si>
    <t>10/27/2025, 4:19:07 PM</t>
  </si>
  <si>
    <t>H062C9005A-9017903700</t>
  </si>
  <si>
    <t>(0.07kg.)</t>
  </si>
  <si>
    <t>25.00x15.00x70.00</t>
  </si>
  <si>
    <t>10/27/2025, 4:25:41 PM</t>
  </si>
  <si>
    <t>H062C9004A-9017903600</t>
  </si>
  <si>
    <t>(0.91kg.)</t>
  </si>
  <si>
    <t>105.00x47.00x68.00</t>
  </si>
  <si>
    <t>10/27/2025, 4:26:32 PM</t>
  </si>
  <si>
    <t>H062C9001A-9017903300</t>
  </si>
  <si>
    <t>10/27/2025, 4:27:21 PM</t>
  </si>
  <si>
    <t>H114E1001A-901795200</t>
  </si>
  <si>
    <t>(2.45kg.)</t>
  </si>
  <si>
    <t>74.09x108.11x113.20</t>
  </si>
  <si>
    <t>10/27/2025, 4:30:49 PM</t>
  </si>
  <si>
    <t>H062C9006A-9017903800</t>
  </si>
  <si>
    <t>H062C9002A-9017903400</t>
  </si>
  <si>
    <t>A6062</t>
  </si>
  <si>
    <t>H114G0001A-9017907000</t>
  </si>
  <si>
    <t>A6063</t>
  </si>
  <si>
    <t>10/27/2025, 4:41:02 PM</t>
  </si>
  <si>
    <t>H062C5001A-9017902900</t>
  </si>
  <si>
    <t>(0.36kg.)</t>
  </si>
  <si>
    <t>130.00x90.00x11.50</t>
  </si>
  <si>
    <t>10/27/2025, 4:41:39 PM</t>
  </si>
  <si>
    <t>cover reflow Rev.01</t>
  </si>
  <si>
    <t>(1.82kg.)</t>
  </si>
  <si>
    <t>15.00x98.00x458.00</t>
  </si>
  <si>
    <t>10/27/2025, 5:13:22 PM</t>
  </si>
  <si>
    <t>9017759200</t>
  </si>
  <si>
    <t>(0.64kg.)</t>
  </si>
  <si>
    <t>42.00x54.00x105.02</t>
  </si>
  <si>
    <t>10/27/2025, 5:13:46 PM</t>
  </si>
  <si>
    <t>901081500</t>
  </si>
  <si>
    <t>(0.50kg.)</t>
  </si>
  <si>
    <t>15.00x95.00x129.00</t>
  </si>
  <si>
    <t>10/27/2025, 5:14:40 PM</t>
  </si>
  <si>
    <t>9017760400</t>
  </si>
  <si>
    <t>20.02x38.16x125.00</t>
  </si>
  <si>
    <t>10/27/2025, 5:15:05 PM</t>
  </si>
  <si>
    <t>9017761300</t>
  </si>
  <si>
    <t>(4.04kg.)</t>
  </si>
  <si>
    <t>25.00x230.00x260.00</t>
  </si>
  <si>
    <t>10/27/2025, 5:15:28 PM</t>
  </si>
  <si>
    <t>9017759300</t>
  </si>
  <si>
    <t>12.00x57.00x270.00</t>
  </si>
  <si>
    <t>10/27/2025, 5:15:48 PM</t>
  </si>
  <si>
    <t>9017828300</t>
  </si>
  <si>
    <t>(1.84kg.)</t>
  </si>
  <si>
    <t>15.00x130.00x350.00</t>
  </si>
  <si>
    <t>Base (EOE14010003) Type-2.Z3PRT</t>
  </si>
  <si>
    <t>BAKELITE BLACK 20MM.</t>
  </si>
  <si>
    <t>(0.17kg.)</t>
  </si>
  <si>
    <t>110.00x25.00x60.00</t>
  </si>
  <si>
    <t>Part Slide (EOE14010003) Type-2.Z3PRT</t>
  </si>
  <si>
    <t>EPOXY G10 GREEN 15MM.</t>
  </si>
  <si>
    <t>(0.02kg.)</t>
  </si>
  <si>
    <t>80.00x11.00x23.00</t>
  </si>
  <si>
    <t>Stopper-1 (EOE14010003) Type-2.Z3PRT</t>
  </si>
  <si>
    <t>10.00x39.00x55.00</t>
  </si>
  <si>
    <t>Support Magnet (EOE14010003) Type-2</t>
  </si>
  <si>
    <t>Lock-C01 (EOE14010003) Type-2</t>
  </si>
  <si>
    <t>Lock-C02 (EOE14010003) Type-2</t>
  </si>
  <si>
    <t>(0.06kg.)</t>
  </si>
  <si>
    <t>Stopper-2 (EOE14010003) Type-2</t>
  </si>
  <si>
    <t>Adjust-1 (EOE14010003) Type-2</t>
  </si>
  <si>
    <t>Handle (EOE14010003) Type-2</t>
  </si>
  <si>
    <t>Part Pin (EOE14010003) Type-2</t>
  </si>
  <si>
    <t>Pin Ø 1.8 (EOE14010003) Type-2</t>
  </si>
  <si>
    <t>(0.01kg.)</t>
  </si>
  <si>
    <t>⌀6.00 x 50.00</t>
  </si>
  <si>
    <t>Spring ID=5.5mm L=15mm</t>
  </si>
  <si>
    <t>Magnet Ø5x5T</t>
  </si>
  <si>
    <t>LINEAR GUIDE (E-SMLG9)_L=80mm</t>
  </si>
  <si>
    <t>GUIDE BLOCK (C-MLGB9)</t>
  </si>
  <si>
    <t>R05_01_Block3phase(Jolt28)</t>
  </si>
  <si>
    <t>POM</t>
  </si>
  <si>
    <t>(1.22kg.)</t>
  </si>
  <si>
    <t>80.00x90.00x120.00</t>
  </si>
  <si>
    <t>R05_02_cover voltara rev.3</t>
  </si>
  <si>
    <t>(0.42kg.)</t>
  </si>
  <si>
    <t>50.00x60.00x100.00</t>
  </si>
  <si>
    <t>(8.14kg.)</t>
  </si>
  <si>
    <t>ราคา รวมยิงทราย</t>
  </si>
  <si>
    <t>28/10/2568 22:23:30</t>
  </si>
  <si>
    <t>29/10/2568 13:51:22</t>
  </si>
  <si>
    <t>10/29/2025, 7:34:14 PM</t>
  </si>
  <si>
    <t>10/29/2025, 7:58:53 PM</t>
  </si>
  <si>
    <t>10/29/2025, 7:59:11 PM</t>
  </si>
  <si>
    <t>(0.76kg.)</t>
  </si>
  <si>
    <t>10/29/2025, 8:50:30 PM</t>
  </si>
  <si>
    <t>10/29/2025, 8:50:39 PM</t>
  </si>
  <si>
    <t>10/29/2025, 10:32:39 PM</t>
  </si>
  <si>
    <t>(22.02kg.)</t>
  </si>
  <si>
    <t>30.00x300.00x920.00</t>
  </si>
  <si>
    <t>10/29/2025, 10:34:39 PM</t>
  </si>
  <si>
    <t>SS500</t>
  </si>
  <si>
    <t>(67.97kg.)</t>
  </si>
  <si>
    <t>10/29/2025, 10:38:37 PM</t>
  </si>
  <si>
    <t>(61.82kg.)</t>
  </si>
  <si>
    <t>10/30/2025, 11:28:48 AM</t>
  </si>
  <si>
    <t>10/30/2025, 11:29:11 AM</t>
  </si>
  <si>
    <t>10/30/2025, 11:33:43 AM</t>
  </si>
  <si>
    <t>MOLD BASE</t>
  </si>
  <si>
    <t>(71.29kg.)</t>
  </si>
  <si>
    <t>10/30/2025, 11:43:15 AM</t>
  </si>
  <si>
    <t>Press pin</t>
  </si>
  <si>
    <t>⌀10.00 x 120.00</t>
  </si>
  <si>
    <t>10/30/2025, 11:45:01 AM</t>
  </si>
  <si>
    <t>10/30/2025, 7:09:47 PM</t>
  </si>
  <si>
    <t>10/31/2025, 1:23:20 PM</t>
  </si>
  <si>
    <t>11/1/2025, 1:56:25 PM</t>
  </si>
  <si>
    <t>MZ-YS-8436BY-071(00)印刷底盤Printed chassis</t>
  </si>
  <si>
    <t>A7075</t>
  </si>
  <si>
    <t>(0.34kg.)</t>
  </si>
  <si>
    <t>5.00x110.00x220.00</t>
  </si>
  <si>
    <t>11/1/2025, 2:01:42 PM</t>
  </si>
  <si>
    <t>11/1/2025, 2:03:03 PM</t>
  </si>
  <si>
    <t>No.</t>
  </si>
  <si>
    <t>Qty' = 5</t>
  </si>
  <si>
    <t>Total</t>
  </si>
  <si>
    <t>N0.</t>
  </si>
  <si>
    <t>Qty'</t>
  </si>
  <si>
    <t>Assem1-KTM</t>
  </si>
  <si>
    <t>1.1NID062025-PJ27-00-171</t>
  </si>
  <si>
    <t>SS400 (F/S)</t>
  </si>
  <si>
    <t>NS004_2</t>
  </si>
  <si>
    <t>1.1NID062025-PJ27-00-243</t>
  </si>
  <si>
    <t>KTM-Ring</t>
  </si>
  <si>
    <t>1.MirrorNID062025-PJ27-00-479</t>
  </si>
  <si>
    <t>UD1KTM-CG-23</t>
  </si>
  <si>
    <t>1.NID062025-PJ27-00-473</t>
  </si>
  <si>
    <t>Part3 V2 Rear Disc Guard - KTM</t>
  </si>
  <si>
    <t>1.NID062025-PJ27-00-477</t>
  </si>
  <si>
    <t>1.NID062025-PJ27-00-479</t>
  </si>
  <si>
    <t>1.NID062025-PJ27-00-480</t>
  </si>
  <si>
    <t>1.NID062025-PJ27-00-482</t>
  </si>
  <si>
    <t>Qty' = 10</t>
  </si>
  <si>
    <t>1.NID062025-PJ27-00-495</t>
  </si>
  <si>
    <t>S45C (F/S)</t>
  </si>
  <si>
    <t>1.NID062025-PJ27-00-500</t>
  </si>
  <si>
    <t>1.NID062025-PJ27-00-554</t>
  </si>
  <si>
    <t>1.NID062025-PJ27-00-564</t>
  </si>
  <si>
    <t>1.NID062025-PJ27-00-570</t>
  </si>
  <si>
    <t>1.NID062025-PJ27-00-571</t>
  </si>
  <si>
    <t>WTT -2025100182</t>
  </si>
  <si>
    <t>Mirror1.NID062025-PJ27-00-489</t>
  </si>
  <si>
    <t>NID</t>
  </si>
  <si>
    <t>ราคาที่เสนอรวม Mat' แล้ว + W/C</t>
  </si>
  <si>
    <t>NO.</t>
  </si>
  <si>
    <t>PJ-043-ASY-LSM-005-01_CNC</t>
  </si>
  <si>
    <t>(4.95kg.)</t>
  </si>
  <si>
    <t>10.00x390.00x470.00</t>
  </si>
  <si>
    <t>PJ-043-ASY-STK-006-01_CNC</t>
  </si>
  <si>
    <t>(4.84kg.)</t>
  </si>
  <si>
    <t>10.00x320.00x560.00</t>
  </si>
  <si>
    <t>PJ-043-ASY-STK-006-04_CNC</t>
  </si>
  <si>
    <t>(3.09kg.)</t>
  </si>
  <si>
    <t>12.00x150.00x635.00</t>
  </si>
  <si>
    <t>PJ-043-ASY-STK-006-03_CNC</t>
  </si>
  <si>
    <t>(3.11kg.)</t>
  </si>
  <si>
    <t>12.10x150.00x635.00</t>
  </si>
  <si>
    <t>PJ-043-ASY-STK-006-08_CNC</t>
  </si>
  <si>
    <t>(107.06kg.)</t>
  </si>
  <si>
    <t>20.00x1300.00x1525.00</t>
  </si>
  <si>
    <t>PJ-043-ASY-STK-006-10_CNC</t>
  </si>
  <si>
    <t>(0.65kg.)</t>
  </si>
  <si>
    <t>12.09x100.00x200.00</t>
  </si>
  <si>
    <t>PJ-043-ASY-STK-006-16_CNC</t>
  </si>
  <si>
    <t>(15.54kg.)</t>
  </si>
  <si>
    <t>12.00x200.00x825.00</t>
  </si>
  <si>
    <t>PJ-043-ASY-STK-006-18_CNC</t>
  </si>
  <si>
    <t>(1.41kg.)</t>
  </si>
  <si>
    <t>12.00x150.00x290.00</t>
  </si>
  <si>
    <t>PJ-043-ASY-STK-006-19_CNC</t>
  </si>
  <si>
    <t>(1.59kg.)</t>
  </si>
  <si>
    <t>12.05x140.00x350.00</t>
  </si>
  <si>
    <t>PJ-043-ASY-STK-006-20_CNC</t>
  </si>
  <si>
    <t>(2.69kg.)</t>
  </si>
  <si>
    <t>30.00x95.08x120.00</t>
  </si>
  <si>
    <t>PJ-043-ASY-STK-006-21_CNC</t>
  </si>
  <si>
    <t>40.00x40.24x134.62</t>
  </si>
  <si>
    <t>PJ-043-ASY-STK-006-22_CNC</t>
  </si>
  <si>
    <t>20.11x55.08x70.00</t>
  </si>
  <si>
    <t>PJ-043-ASY-STK-006-25_CNC</t>
  </si>
  <si>
    <t>(80.07kg.)</t>
  </si>
  <si>
    <t>12.00x680.00x1250.00</t>
  </si>
  <si>
    <t>PJ-043-ASY-STK-006-27_CNC</t>
  </si>
  <si>
    <t>(3.90kg.)</t>
  </si>
  <si>
    <t>15.00x170.00x195.00</t>
  </si>
  <si>
    <t>PJ-043-ASY-STK-006-28_CNC</t>
  </si>
  <si>
    <t>(4.83kg.)</t>
  </si>
  <si>
    <t>15.00x200.00x205.00</t>
  </si>
  <si>
    <t>PJ-043-ASY-STK-006-29_CNC</t>
  </si>
  <si>
    <t>(1.00kg.)</t>
  </si>
  <si>
    <t>15.00x50.00x170.00</t>
  </si>
  <si>
    <t>PJ-043-ASY-STK-006-30_CNC</t>
  </si>
  <si>
    <t>(3.80kg.)</t>
  </si>
  <si>
    <t>15.00x170.00x190.00</t>
  </si>
  <si>
    <t>(8.97kg.)</t>
  </si>
  <si>
    <t>SCM21</t>
  </si>
  <si>
    <t>DC53</t>
  </si>
  <si>
    <t>(0.27kg.)</t>
  </si>
  <si>
    <t>⌀20.00 x 110.00</t>
  </si>
  <si>
    <t>SUJ2</t>
  </si>
  <si>
    <t>(0.74kg.)</t>
  </si>
  <si>
    <t>(0.46kg.)</t>
  </si>
  <si>
    <t xml:space="preserve">Assembly and  Equipment </t>
  </si>
  <si>
    <t>POM Shore D 80</t>
  </si>
  <si>
    <t>QT2025100173</t>
  </si>
  <si>
    <t>H003F1011A-9010482800</t>
  </si>
  <si>
    <t>H0999K1032A-901780700</t>
  </si>
  <si>
    <t>H062D1006A-9017905000</t>
  </si>
  <si>
    <t>H114E1001A-9017952000</t>
  </si>
  <si>
    <t>QT2025100166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</si>
</sst>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(#,##0.00);_(* &quot;-&quot;??_);_(@_)"/>
    <numFmt numFmtId="165" formatCode="_(* #,##0_);_(* (#,##0);_(* &quot;-&quot;??_);_(@_)"/>
  </numFmts>
  <fonts count="6" x14ac:knownFonts="1">
    <font>
      <color theme="1"/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b/>
      <u val="doubleAccounting"/>
      <color theme="0"/>
      <family val="2"/>
      <scheme val="minor"/>
      <sz val="14"/>
      <name val="Calibri"/>
    </font>
    <font>
      <b/>
      <u val="doubleAccounting"/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i/>
      <color theme="1"/>
      <family val="2"/>
      <scheme val="minor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3" fillId="4" borderId="0" xfId="0" applyNumberFormat="1" applyFont="1" applyFill="1"/>
    <xf numFmtId="164" fontId="4" fillId="5" borderId="1" xfId="0" applyNumberFormat="1" applyFont="1" applyFill="1" applyBorder="1"/>
    <xf numFmtId="164" fontId="0" fillId="6" borderId="0" xfId="0" applyNumberFormat="1" applyFill="1"/>
    <xf numFmtId="164" fontId="5" fillId="7" borderId="2" xfId="0" applyNumberFormat="1" applyFont="1" applyFill="1" applyBorder="1" applyAlignment="1">
      <alignment horizontal="center" vertical="center"/>
    </xf>
    <xf numFmtId="164" fontId="3" fillId="8" borderId="0" xfId="0" applyNumberFormat="1" applyFont="1" applyFill="1"/>
    <xf numFmtId="164" fontId="4" fillId="4" borderId="2" xfId="0" applyNumberFormat="1" applyFont="1" applyFill="1" applyBorder="1"/>
    <xf numFmtId="0" fontId="0" fillId="0" borderId="0" xfId="0" applyAlignment="1">
      <alignment horizontal="left" vertical="center"/>
    </xf>
    <xf numFmtId="164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"/>
  <sheetViews>
    <sheetView workbookViewId="0" zoomScale="100" zoomScaleNormal="100">
      <selection activeCell="C90" sqref="C90"/>
    </sheetView>
  </sheetViews>
  <sheetFormatPr defaultRowHeight="14.4" outlineLevelRow="0" outlineLevelCol="0" x14ac:dyDescent="0.3" customHeight="1"/>
  <cols>
    <col min="1" max="1" width="21.109375" customWidth="1"/>
    <col min="2" max="2" width="30.109375" customWidth="1"/>
    <col min="3" max="3" width="10.44140625" customWidth="1"/>
    <col min="4" max="4" width="9.6640625" customWidth="1"/>
    <col min="5" max="5" width="18.6640625" customWidth="1"/>
    <col min="6" max="6" width="18.21875" style="1" customWidth="1"/>
    <col min="7" max="7" width="8" customWidth="1"/>
    <col min="8" max="8" width="5.44140625" customWidth="1"/>
    <col min="9" max="9" width="5.6640625" customWidth="1"/>
    <col min="10" max="10" width="4.6640625" customWidth="1"/>
    <col min="11" max="11" width="4.21875" customWidth="1"/>
    <col min="12" max="12" width="4.6640625" customWidth="1"/>
    <col min="13" max="13" width="18" style="1" customWidth="1"/>
    <col min="14" max="14" width="20.44140625" style="1" customWidth="1"/>
    <col min="15" max="15" width="41.109375" customWidth="1"/>
    <col min="16" max="16" width="17.33203125" customWidth="1"/>
  </cols>
  <sheetData>
    <row r="1" ht="31.2" customHeight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1">
        <v>4037.88</v>
      </c>
      <c r="G2" t="s">
        <v>21</v>
      </c>
      <c r="H2">
        <v>3325.53</v>
      </c>
      <c r="I2" t="s">
        <v>22</v>
      </c>
      <c r="J2">
        <v>0</v>
      </c>
      <c r="K2" t="s">
        <v>22</v>
      </c>
      <c r="L2">
        <v>0</v>
      </c>
      <c r="M2" s="1">
        <v>10127.11</v>
      </c>
      <c r="N2" s="1">
        <v>17490.52</v>
      </c>
      <c r="O2" t="s">
        <v>23</v>
      </c>
      <c r="P2" t="s">
        <v>23</v>
      </c>
    </row>
    <row r="3" spans="1:16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s="1">
        <v>4582.63</v>
      </c>
      <c r="G3" t="s">
        <v>23</v>
      </c>
      <c r="H3">
        <v>0</v>
      </c>
      <c r="I3" t="s">
        <v>22</v>
      </c>
      <c r="J3">
        <v>0</v>
      </c>
      <c r="K3" t="s">
        <v>22</v>
      </c>
      <c r="L3">
        <v>0</v>
      </c>
      <c r="M3" s="1">
        <v>19252.36</v>
      </c>
      <c r="N3" s="1">
        <v>23834.99</v>
      </c>
      <c r="O3" t="s">
        <v>23</v>
      </c>
      <c r="P3" t="s">
        <v>23</v>
      </c>
    </row>
    <row r="4" spans="1:16" x14ac:dyDescent="0.25">
      <c r="A4" t="s">
        <v>29</v>
      </c>
      <c r="B4" t="s">
        <v>17</v>
      </c>
      <c r="C4" t="s">
        <v>26</v>
      </c>
      <c r="D4" t="s">
        <v>30</v>
      </c>
      <c r="E4" t="s">
        <v>20</v>
      </c>
      <c r="F4" s="1">
        <v>4657.5</v>
      </c>
      <c r="G4" t="s">
        <v>21</v>
      </c>
      <c r="H4">
        <v>3325.53</v>
      </c>
      <c r="I4" t="s">
        <v>22</v>
      </c>
      <c r="J4">
        <v>0</v>
      </c>
      <c r="K4" t="s">
        <v>22</v>
      </c>
      <c r="L4">
        <v>0</v>
      </c>
      <c r="M4" s="1">
        <v>10127.11</v>
      </c>
      <c r="N4" s="1">
        <v>18110.14</v>
      </c>
      <c r="O4" t="s">
        <v>23</v>
      </c>
      <c r="P4" t="s">
        <v>23</v>
      </c>
    </row>
    <row r="5" spans="1:16" x14ac:dyDescent="0.25">
      <c r="A5" t="s">
        <v>31</v>
      </c>
      <c r="B5" t="s">
        <v>25</v>
      </c>
      <c r="C5" t="s">
        <v>18</v>
      </c>
      <c r="D5" t="s">
        <v>32</v>
      </c>
      <c r="E5" t="s">
        <v>28</v>
      </c>
      <c r="F5" s="1">
        <v>3972.97</v>
      </c>
      <c r="G5" t="s">
        <v>23</v>
      </c>
      <c r="H5">
        <v>0</v>
      </c>
      <c r="I5" t="s">
        <v>22</v>
      </c>
      <c r="J5">
        <v>0</v>
      </c>
      <c r="K5" t="s">
        <v>22</v>
      </c>
      <c r="L5">
        <v>0</v>
      </c>
      <c r="M5" s="1">
        <v>19252.36</v>
      </c>
      <c r="N5" s="1">
        <v>23225.33</v>
      </c>
      <c r="O5" t="s">
        <v>23</v>
      </c>
      <c r="P5" t="s">
        <v>23</v>
      </c>
    </row>
    <row r="6" spans="1:16" x14ac:dyDescent="0.25">
      <c r="A6" t="s">
        <v>33</v>
      </c>
      <c r="B6" t="s">
        <v>34</v>
      </c>
      <c r="C6" t="s">
        <v>26</v>
      </c>
      <c r="D6" t="s">
        <v>35</v>
      </c>
      <c r="E6" t="s">
        <v>36</v>
      </c>
      <c r="F6" s="1">
        <v>425.25</v>
      </c>
      <c r="G6" t="s">
        <v>23</v>
      </c>
      <c r="H6">
        <v>0</v>
      </c>
      <c r="I6" t="s">
        <v>22</v>
      </c>
      <c r="J6">
        <v>0</v>
      </c>
      <c r="K6" t="s">
        <v>22</v>
      </c>
      <c r="L6">
        <v>0</v>
      </c>
      <c r="M6" s="1">
        <v>496.7</v>
      </c>
      <c r="N6" s="1">
        <v>921.95</v>
      </c>
      <c r="O6" t="s">
        <v>23</v>
      </c>
      <c r="P6" t="s">
        <v>23</v>
      </c>
    </row>
    <row r="7" spans="1:16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s="1">
        <v>291.46</v>
      </c>
      <c r="G7" t="s">
        <v>23</v>
      </c>
      <c r="H7">
        <v>0</v>
      </c>
      <c r="I7" t="s">
        <v>22</v>
      </c>
      <c r="J7">
        <v>0</v>
      </c>
      <c r="K7" t="s">
        <v>22</v>
      </c>
      <c r="L7">
        <v>0</v>
      </c>
      <c r="M7" s="1">
        <v>787.22</v>
      </c>
      <c r="N7" s="1">
        <v>1078.68</v>
      </c>
      <c r="O7" t="s">
        <v>23</v>
      </c>
      <c r="P7" t="s">
        <v>23</v>
      </c>
    </row>
    <row r="8" spans="1:16" x14ac:dyDescent="0.25">
      <c r="A8" t="s">
        <v>42</v>
      </c>
      <c r="B8" t="s">
        <v>17</v>
      </c>
      <c r="C8" t="s">
        <v>43</v>
      </c>
      <c r="D8" t="s">
        <v>44</v>
      </c>
      <c r="E8" t="s">
        <v>20</v>
      </c>
      <c r="F8" s="1">
        <v>11040</v>
      </c>
      <c r="G8" t="s">
        <v>23</v>
      </c>
      <c r="H8">
        <v>0</v>
      </c>
      <c r="I8" t="s">
        <v>22</v>
      </c>
      <c r="J8">
        <v>0</v>
      </c>
      <c r="K8" t="s">
        <v>22</v>
      </c>
      <c r="L8">
        <v>0</v>
      </c>
      <c r="M8" s="1">
        <v>12152.53</v>
      </c>
      <c r="N8" s="1">
        <v>23192.53</v>
      </c>
      <c r="O8" t="s">
        <v>23</v>
      </c>
      <c r="P8" t="s">
        <v>23</v>
      </c>
    </row>
    <row r="9" spans="1:16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s="1">
        <v>616.02</v>
      </c>
      <c r="G9" t="s">
        <v>23</v>
      </c>
      <c r="H9">
        <v>0</v>
      </c>
      <c r="I9" t="s">
        <v>22</v>
      </c>
      <c r="J9">
        <v>0</v>
      </c>
      <c r="K9" t="s">
        <v>22</v>
      </c>
      <c r="L9">
        <v>0</v>
      </c>
      <c r="M9" s="1">
        <v>2317.4</v>
      </c>
      <c r="N9" s="1">
        <v>2933.42</v>
      </c>
      <c r="O9" t="s">
        <v>23</v>
      </c>
      <c r="P9" t="s">
        <v>23</v>
      </c>
    </row>
    <row r="10" spans="1:16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s="1">
        <v>84.45</v>
      </c>
      <c r="G10" t="s">
        <v>23</v>
      </c>
      <c r="H10">
        <v>0</v>
      </c>
      <c r="I10" t="s">
        <v>22</v>
      </c>
      <c r="J10">
        <v>0</v>
      </c>
      <c r="K10" t="s">
        <v>22</v>
      </c>
      <c r="L10">
        <v>0</v>
      </c>
      <c r="M10" s="1">
        <v>60.99</v>
      </c>
      <c r="N10" s="1">
        <v>145.44</v>
      </c>
      <c r="O10" t="s">
        <v>23</v>
      </c>
      <c r="P10" t="s">
        <v>23</v>
      </c>
    </row>
    <row r="11" spans="1:16" x14ac:dyDescent="0.25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s="1">
        <v>421.07</v>
      </c>
      <c r="G11" t="s">
        <v>23</v>
      </c>
      <c r="H11">
        <v>0</v>
      </c>
      <c r="I11" t="s">
        <v>22</v>
      </c>
      <c r="J11">
        <v>0</v>
      </c>
      <c r="K11" t="s">
        <v>22</v>
      </c>
      <c r="L11">
        <v>0</v>
      </c>
      <c r="M11" s="1">
        <v>277.52</v>
      </c>
      <c r="N11" s="1">
        <v>698.59</v>
      </c>
      <c r="O11" t="s">
        <v>23</v>
      </c>
      <c r="P11" t="s">
        <v>23</v>
      </c>
    </row>
    <row r="12" spans="1:16" x14ac:dyDescent="0.25">
      <c r="A12" t="s">
        <v>60</v>
      </c>
      <c r="B12" t="s">
        <v>61</v>
      </c>
      <c r="C12" t="s">
        <v>62</v>
      </c>
      <c r="D12" t="s">
        <v>53</v>
      </c>
      <c r="E12" t="s">
        <v>63</v>
      </c>
      <c r="F12" s="1">
        <v>2218.86</v>
      </c>
      <c r="G12" t="s">
        <v>23</v>
      </c>
      <c r="H12">
        <v>0</v>
      </c>
      <c r="I12" t="s">
        <v>22</v>
      </c>
      <c r="J12">
        <v>0</v>
      </c>
      <c r="K12" t="s">
        <v>22</v>
      </c>
      <c r="L12">
        <v>0</v>
      </c>
      <c r="M12" s="1">
        <v>269.62</v>
      </c>
      <c r="N12" s="1">
        <v>2488.48</v>
      </c>
      <c r="O12" t="s">
        <v>23</v>
      </c>
      <c r="P12" t="s">
        <v>23</v>
      </c>
    </row>
    <row r="14" spans="1:16" x14ac:dyDescent="0.2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s="1">
        <v>350</v>
      </c>
      <c r="G14" t="s">
        <v>23</v>
      </c>
      <c r="H14">
        <v>0</v>
      </c>
      <c r="I14" t="s">
        <v>22</v>
      </c>
      <c r="J14">
        <v>0</v>
      </c>
      <c r="K14" t="s">
        <v>22</v>
      </c>
      <c r="L14">
        <v>0</v>
      </c>
      <c r="M14" s="1">
        <v>1500.45</v>
      </c>
      <c r="N14" s="1">
        <v>1850.45</v>
      </c>
      <c r="O14" t="s">
        <v>23</v>
      </c>
      <c r="P14" t="s">
        <v>23</v>
      </c>
    </row>
    <row r="15" spans="1:16" x14ac:dyDescent="0.25">
      <c r="A15" t="s">
        <v>69</v>
      </c>
      <c r="B15">
        <v>2</v>
      </c>
      <c r="C15" t="s">
        <v>66</v>
      </c>
      <c r="D15" t="s">
        <v>70</v>
      </c>
      <c r="E15" t="s">
        <v>71</v>
      </c>
      <c r="F15" s="1">
        <v>200</v>
      </c>
      <c r="G15" t="s">
        <v>23</v>
      </c>
      <c r="H15">
        <v>0</v>
      </c>
      <c r="I15" t="s">
        <v>22</v>
      </c>
      <c r="J15">
        <v>0</v>
      </c>
      <c r="K15" t="s">
        <v>22</v>
      </c>
      <c r="L15">
        <v>0</v>
      </c>
      <c r="M15" s="1">
        <v>1700</v>
      </c>
      <c r="N15" s="1">
        <v>1900</v>
      </c>
      <c r="O15" t="s">
        <v>23</v>
      </c>
      <c r="P15" t="s">
        <v>23</v>
      </c>
    </row>
    <row r="16" spans="1:16" x14ac:dyDescent="0.25">
      <c r="A16" t="s">
        <v>72</v>
      </c>
      <c r="B16">
        <v>3</v>
      </c>
      <c r="C16" t="s">
        <v>66</v>
      </c>
      <c r="D16" t="s">
        <v>73</v>
      </c>
      <c r="E16" t="s">
        <v>74</v>
      </c>
      <c r="F16" s="1">
        <v>150</v>
      </c>
      <c r="G16" t="s">
        <v>23</v>
      </c>
      <c r="H16">
        <v>0</v>
      </c>
      <c r="I16" t="s">
        <v>22</v>
      </c>
      <c r="J16">
        <v>0</v>
      </c>
      <c r="K16" t="s">
        <v>22</v>
      </c>
      <c r="L16">
        <v>0</v>
      </c>
      <c r="M16" s="1">
        <v>944.2</v>
      </c>
      <c r="N16" s="1">
        <v>1094.2</v>
      </c>
      <c r="O16" t="s">
        <v>23</v>
      </c>
      <c r="P16" t="s">
        <v>23</v>
      </c>
    </row>
    <row r="17" spans="1:16" x14ac:dyDescent="0.25">
      <c r="A17" t="s">
        <v>75</v>
      </c>
      <c r="B17">
        <v>4</v>
      </c>
      <c r="C17" t="s">
        <v>66</v>
      </c>
      <c r="D17" t="s">
        <v>73</v>
      </c>
      <c r="E17" t="s">
        <v>74</v>
      </c>
      <c r="F17" s="1">
        <v>150</v>
      </c>
      <c r="G17" t="s">
        <v>23</v>
      </c>
      <c r="H17">
        <v>0</v>
      </c>
      <c r="I17" t="s">
        <v>22</v>
      </c>
      <c r="J17">
        <v>0</v>
      </c>
      <c r="K17" t="s">
        <v>22</v>
      </c>
      <c r="L17">
        <v>0</v>
      </c>
      <c r="M17" s="1">
        <v>950</v>
      </c>
      <c r="N17" s="1">
        <v>1100</v>
      </c>
      <c r="O17" t="s">
        <v>23</v>
      </c>
      <c r="P17" t="s">
        <v>23</v>
      </c>
    </row>
    <row r="18" spans="1:16" x14ac:dyDescent="0.25">
      <c r="A18" t="s">
        <v>76</v>
      </c>
      <c r="B18">
        <v>5</v>
      </c>
      <c r="C18" t="s">
        <v>66</v>
      </c>
      <c r="D18" t="s">
        <v>73</v>
      </c>
      <c r="E18" t="s">
        <v>74</v>
      </c>
      <c r="F18" s="1">
        <v>150</v>
      </c>
      <c r="G18" t="s">
        <v>23</v>
      </c>
      <c r="H18">
        <v>0</v>
      </c>
      <c r="I18" t="s">
        <v>22</v>
      </c>
      <c r="J18">
        <v>0</v>
      </c>
      <c r="K18" t="s">
        <v>22</v>
      </c>
      <c r="L18">
        <v>0</v>
      </c>
      <c r="M18" s="1">
        <v>950</v>
      </c>
      <c r="N18" s="1">
        <v>1100</v>
      </c>
      <c r="O18" t="s">
        <v>23</v>
      </c>
      <c r="P18" t="s">
        <v>23</v>
      </c>
    </row>
    <row r="19" spans="1:16" x14ac:dyDescent="0.25">
      <c r="A19" t="s">
        <v>77</v>
      </c>
      <c r="B19">
        <v>6</v>
      </c>
      <c r="C19" t="s">
        <v>66</v>
      </c>
      <c r="D19" t="s">
        <v>78</v>
      </c>
      <c r="E19" t="s">
        <v>79</v>
      </c>
      <c r="F19" s="1">
        <v>150</v>
      </c>
      <c r="G19" t="s">
        <v>23</v>
      </c>
      <c r="H19">
        <v>0</v>
      </c>
      <c r="I19" t="s">
        <v>22</v>
      </c>
      <c r="J19">
        <v>0</v>
      </c>
      <c r="K19" t="s">
        <v>22</v>
      </c>
      <c r="L19">
        <v>0</v>
      </c>
      <c r="M19" s="1">
        <v>400</v>
      </c>
      <c r="N19" s="1">
        <v>550</v>
      </c>
      <c r="O19" t="s">
        <v>23</v>
      </c>
      <c r="P19" t="s">
        <v>23</v>
      </c>
    </row>
    <row r="20" spans="1:16" x14ac:dyDescent="0.25">
      <c r="A20" t="s">
        <v>80</v>
      </c>
      <c r="B20">
        <v>7</v>
      </c>
      <c r="C20" t="s">
        <v>66</v>
      </c>
      <c r="D20" t="s">
        <v>78</v>
      </c>
      <c r="E20" t="s">
        <v>79</v>
      </c>
      <c r="F20" s="1">
        <v>200</v>
      </c>
      <c r="G20" t="s">
        <v>23</v>
      </c>
      <c r="H20">
        <v>0</v>
      </c>
      <c r="I20" t="s">
        <v>22</v>
      </c>
      <c r="J20">
        <v>0</v>
      </c>
      <c r="K20" t="s">
        <v>22</v>
      </c>
      <c r="L20">
        <v>0</v>
      </c>
      <c r="M20" s="1">
        <v>400</v>
      </c>
      <c r="N20" s="1">
        <v>600</v>
      </c>
      <c r="O20" t="s">
        <v>23</v>
      </c>
      <c r="P20" t="s">
        <v>23</v>
      </c>
    </row>
    <row r="22" spans="1:16" x14ac:dyDescent="0.25">
      <c r="A22" t="s">
        <v>81</v>
      </c>
      <c r="B22" t="s">
        <v>82</v>
      </c>
      <c r="C22" t="s">
        <v>43</v>
      </c>
      <c r="D22" t="s">
        <v>83</v>
      </c>
      <c r="E22" t="s">
        <v>84</v>
      </c>
      <c r="F22" s="1">
        <v>150</v>
      </c>
      <c r="G22" t="s">
        <v>23</v>
      </c>
      <c r="H22">
        <v>0</v>
      </c>
      <c r="I22" t="s">
        <v>22</v>
      </c>
      <c r="J22">
        <v>0</v>
      </c>
      <c r="K22" t="s">
        <v>22</v>
      </c>
      <c r="L22">
        <v>0</v>
      </c>
      <c r="M22" s="1">
        <v>500</v>
      </c>
      <c r="N22" s="1">
        <v>650</v>
      </c>
      <c r="O22" t="s">
        <v>85</v>
      </c>
      <c r="P22" t="s">
        <v>23</v>
      </c>
    </row>
    <row r="23" spans="1:16" x14ac:dyDescent="0.25">
      <c r="A23" t="s">
        <v>86</v>
      </c>
      <c r="B23" t="s">
        <v>87</v>
      </c>
      <c r="C23" t="s">
        <v>26</v>
      </c>
      <c r="D23" t="s">
        <v>88</v>
      </c>
      <c r="E23" t="s">
        <v>89</v>
      </c>
      <c r="F23" s="1">
        <v>150</v>
      </c>
      <c r="G23" t="s">
        <v>23</v>
      </c>
      <c r="H23">
        <v>0</v>
      </c>
      <c r="I23" t="s">
        <v>22</v>
      </c>
      <c r="J23">
        <v>0</v>
      </c>
      <c r="K23" t="s">
        <v>90</v>
      </c>
      <c r="L23">
        <v>400</v>
      </c>
      <c r="M23" s="1">
        <v>450</v>
      </c>
      <c r="N23" s="1">
        <v>1000</v>
      </c>
      <c r="O23" t="s">
        <v>85</v>
      </c>
      <c r="P23" t="s">
        <v>23</v>
      </c>
    </row>
    <row r="24" spans="1:16" x14ac:dyDescent="0.25">
      <c r="A24" t="s">
        <v>91</v>
      </c>
      <c r="B24" t="s">
        <v>92</v>
      </c>
      <c r="C24" t="s">
        <v>26</v>
      </c>
      <c r="D24" t="s">
        <v>93</v>
      </c>
      <c r="E24" t="s">
        <v>94</v>
      </c>
      <c r="F24" s="1">
        <v>150</v>
      </c>
      <c r="G24" t="s">
        <v>23</v>
      </c>
      <c r="H24">
        <v>0</v>
      </c>
      <c r="I24" t="s">
        <v>22</v>
      </c>
      <c r="J24">
        <v>0</v>
      </c>
      <c r="K24" t="s">
        <v>22</v>
      </c>
      <c r="L24">
        <v>0</v>
      </c>
      <c r="M24" s="1">
        <v>450</v>
      </c>
      <c r="N24" s="1">
        <v>600</v>
      </c>
      <c r="O24" t="s">
        <v>85</v>
      </c>
      <c r="P24" t="s">
        <v>23</v>
      </c>
    </row>
    <row r="25" spans="1:16" x14ac:dyDescent="0.25">
      <c r="A25" t="s">
        <v>95</v>
      </c>
      <c r="B25" t="s">
        <v>96</v>
      </c>
      <c r="C25" t="s">
        <v>43</v>
      </c>
      <c r="D25" t="s">
        <v>97</v>
      </c>
      <c r="E25" t="s">
        <v>98</v>
      </c>
      <c r="F25" s="1">
        <v>450</v>
      </c>
      <c r="G25" t="s">
        <v>23</v>
      </c>
      <c r="H25">
        <v>0</v>
      </c>
      <c r="I25" t="s">
        <v>22</v>
      </c>
      <c r="J25">
        <v>0</v>
      </c>
      <c r="K25" t="s">
        <v>22</v>
      </c>
      <c r="L25">
        <v>0</v>
      </c>
      <c r="M25" s="1">
        <v>1550</v>
      </c>
      <c r="N25" s="1">
        <v>2000</v>
      </c>
      <c r="O25" t="s">
        <v>85</v>
      </c>
      <c r="P25" t="s">
        <v>23</v>
      </c>
    </row>
    <row r="26" spans="1:16" x14ac:dyDescent="0.25">
      <c r="A26" t="s">
        <v>99</v>
      </c>
      <c r="B26" t="s">
        <v>100</v>
      </c>
      <c r="C26" t="s">
        <v>43</v>
      </c>
      <c r="D26" t="s">
        <v>101</v>
      </c>
      <c r="E26" t="s">
        <v>102</v>
      </c>
      <c r="F26" s="1">
        <v>150</v>
      </c>
      <c r="G26" t="s">
        <v>23</v>
      </c>
      <c r="H26">
        <v>0</v>
      </c>
      <c r="I26" t="s">
        <v>22</v>
      </c>
      <c r="J26">
        <v>0</v>
      </c>
      <c r="K26" t="s">
        <v>22</v>
      </c>
      <c r="L26">
        <v>0</v>
      </c>
      <c r="M26" s="1">
        <v>450</v>
      </c>
      <c r="N26" s="1">
        <v>600</v>
      </c>
      <c r="O26" t="s">
        <v>85</v>
      </c>
      <c r="P26" t="s">
        <v>23</v>
      </c>
    </row>
    <row r="28" spans="1:16" x14ac:dyDescent="0.25">
      <c r="A28" t="s">
        <v>103</v>
      </c>
      <c r="B28" t="s">
        <v>104</v>
      </c>
      <c r="C28" t="s">
        <v>26</v>
      </c>
      <c r="D28" t="s">
        <v>105</v>
      </c>
      <c r="E28" t="s">
        <v>106</v>
      </c>
      <c r="F28" s="1">
        <v>150</v>
      </c>
      <c r="G28" t="s">
        <v>23</v>
      </c>
      <c r="H28">
        <v>0</v>
      </c>
      <c r="I28" t="s">
        <v>22</v>
      </c>
      <c r="J28">
        <v>0</v>
      </c>
      <c r="K28" t="s">
        <v>22</v>
      </c>
      <c r="L28">
        <v>0</v>
      </c>
      <c r="M28" s="1">
        <v>450</v>
      </c>
      <c r="N28" s="1">
        <v>450</v>
      </c>
      <c r="O28" t="s">
        <v>107</v>
      </c>
      <c r="P28" t="s">
        <v>23</v>
      </c>
    </row>
    <row r="29" spans="1:16" x14ac:dyDescent="0.25">
      <c r="A29" t="s">
        <v>108</v>
      </c>
      <c r="B29" t="s">
        <v>109</v>
      </c>
      <c r="C29" t="s">
        <v>26</v>
      </c>
      <c r="D29" t="s">
        <v>105</v>
      </c>
      <c r="E29" t="s">
        <v>106</v>
      </c>
      <c r="F29" s="1">
        <v>150</v>
      </c>
      <c r="G29" t="s">
        <v>23</v>
      </c>
      <c r="H29">
        <v>0</v>
      </c>
      <c r="I29" t="s">
        <v>22</v>
      </c>
      <c r="J29">
        <v>0</v>
      </c>
      <c r="K29" t="s">
        <v>22</v>
      </c>
      <c r="L29">
        <v>0</v>
      </c>
      <c r="M29" s="1">
        <v>450</v>
      </c>
      <c r="N29" s="1">
        <v>450</v>
      </c>
      <c r="O29" t="s">
        <v>107</v>
      </c>
      <c r="P29" t="s">
        <v>23</v>
      </c>
    </row>
    <row r="30" spans="1:16" x14ac:dyDescent="0.25">
      <c r="A30" t="s">
        <v>110</v>
      </c>
      <c r="B30" t="s">
        <v>111</v>
      </c>
      <c r="C30" t="s">
        <v>26</v>
      </c>
      <c r="D30" t="s">
        <v>112</v>
      </c>
      <c r="E30" t="s">
        <v>113</v>
      </c>
      <c r="F30" s="1">
        <v>153.52</v>
      </c>
      <c r="G30" t="s">
        <v>23</v>
      </c>
      <c r="H30">
        <v>0</v>
      </c>
      <c r="I30" t="s">
        <v>22</v>
      </c>
      <c r="J30">
        <v>0</v>
      </c>
      <c r="K30" t="s">
        <v>22</v>
      </c>
      <c r="L30">
        <v>0</v>
      </c>
      <c r="M30" s="1">
        <v>700</v>
      </c>
      <c r="N30" s="1">
        <v>700</v>
      </c>
      <c r="O30" t="s">
        <v>107</v>
      </c>
      <c r="P30" t="s">
        <v>23</v>
      </c>
    </row>
    <row r="31" spans="1:16" x14ac:dyDescent="0.25">
      <c r="A31" t="s">
        <v>114</v>
      </c>
      <c r="B31" t="s">
        <v>115</v>
      </c>
      <c r="C31" t="s">
        <v>26</v>
      </c>
      <c r="D31" t="s">
        <v>112</v>
      </c>
      <c r="E31" t="s">
        <v>113</v>
      </c>
      <c r="F31" s="1">
        <v>153.52</v>
      </c>
      <c r="G31" t="s">
        <v>23</v>
      </c>
      <c r="H31">
        <v>0</v>
      </c>
      <c r="I31" t="s">
        <v>22</v>
      </c>
      <c r="J31">
        <v>0</v>
      </c>
      <c r="K31" t="s">
        <v>22</v>
      </c>
      <c r="L31">
        <v>0</v>
      </c>
      <c r="M31" s="1">
        <v>700</v>
      </c>
      <c r="N31" s="1">
        <v>700</v>
      </c>
      <c r="O31" t="s">
        <v>107</v>
      </c>
      <c r="P31" t="s">
        <v>23</v>
      </c>
    </row>
    <row r="32" spans="1:16" x14ac:dyDescent="0.25">
      <c r="A32" t="s">
        <v>116</v>
      </c>
      <c r="B32" t="s">
        <v>117</v>
      </c>
      <c r="C32" t="s">
        <v>26</v>
      </c>
      <c r="D32" t="s">
        <v>112</v>
      </c>
      <c r="E32" t="s">
        <v>113</v>
      </c>
      <c r="F32" s="1">
        <v>153.52</v>
      </c>
      <c r="G32" t="s">
        <v>23</v>
      </c>
      <c r="H32">
        <v>0</v>
      </c>
      <c r="I32" t="s">
        <v>22</v>
      </c>
      <c r="J32">
        <v>0</v>
      </c>
      <c r="K32" t="s">
        <v>22</v>
      </c>
      <c r="L32">
        <v>0</v>
      </c>
      <c r="M32" s="1">
        <v>700</v>
      </c>
      <c r="N32" s="1">
        <v>700</v>
      </c>
      <c r="O32" t="s">
        <v>107</v>
      </c>
      <c r="P32" t="s">
        <v>23</v>
      </c>
    </row>
    <row r="33" spans="1:16" x14ac:dyDescent="0.25">
      <c r="A33" t="s">
        <v>118</v>
      </c>
      <c r="B33" t="s">
        <v>119</v>
      </c>
      <c r="C33" t="s">
        <v>26</v>
      </c>
      <c r="D33" t="s">
        <v>78</v>
      </c>
      <c r="E33" t="s">
        <v>120</v>
      </c>
      <c r="F33" s="1">
        <v>56.7</v>
      </c>
      <c r="G33" t="s">
        <v>23</v>
      </c>
      <c r="H33">
        <v>0</v>
      </c>
      <c r="I33" t="s">
        <v>22</v>
      </c>
      <c r="J33">
        <v>0</v>
      </c>
      <c r="K33" t="s">
        <v>22</v>
      </c>
      <c r="L33">
        <v>0</v>
      </c>
      <c r="M33" s="1">
        <v>450</v>
      </c>
      <c r="N33" s="1">
        <v>450</v>
      </c>
      <c r="O33" t="s">
        <v>107</v>
      </c>
      <c r="P33" t="s">
        <v>23</v>
      </c>
    </row>
    <row r="34" spans="1:16" x14ac:dyDescent="0.25">
      <c r="A34" t="s">
        <v>121</v>
      </c>
      <c r="B34" t="s">
        <v>122</v>
      </c>
      <c r="C34" t="s">
        <v>26</v>
      </c>
      <c r="D34" t="s">
        <v>123</v>
      </c>
      <c r="E34" t="s">
        <v>124</v>
      </c>
      <c r="F34" s="1">
        <v>17.72</v>
      </c>
      <c r="G34" t="s">
        <v>23</v>
      </c>
      <c r="H34">
        <v>0</v>
      </c>
      <c r="I34" t="s">
        <v>22</v>
      </c>
      <c r="J34">
        <v>0</v>
      </c>
      <c r="K34" t="s">
        <v>22</v>
      </c>
      <c r="L34">
        <v>0</v>
      </c>
      <c r="M34" s="1">
        <v>450</v>
      </c>
      <c r="N34" s="1">
        <v>450</v>
      </c>
      <c r="O34" t="s">
        <v>107</v>
      </c>
      <c r="P34" t="s">
        <v>23</v>
      </c>
    </row>
    <row r="35" spans="1:16" x14ac:dyDescent="0.25">
      <c r="A35" t="s">
        <v>125</v>
      </c>
      <c r="B35" t="s">
        <v>126</v>
      </c>
      <c r="C35" t="s">
        <v>26</v>
      </c>
      <c r="D35" t="s">
        <v>127</v>
      </c>
      <c r="E35" t="s">
        <v>128</v>
      </c>
      <c r="F35" s="1">
        <v>226.52</v>
      </c>
      <c r="G35" t="s">
        <v>23</v>
      </c>
      <c r="H35">
        <v>0</v>
      </c>
      <c r="I35" t="s">
        <v>22</v>
      </c>
      <c r="J35">
        <v>0</v>
      </c>
      <c r="K35" t="s">
        <v>22</v>
      </c>
      <c r="L35">
        <v>0</v>
      </c>
      <c r="M35" s="1">
        <v>1300</v>
      </c>
      <c r="N35" s="1">
        <v>1300</v>
      </c>
      <c r="O35" t="s">
        <v>107</v>
      </c>
      <c r="P35" t="s">
        <v>23</v>
      </c>
    </row>
    <row r="36" spans="1:16" x14ac:dyDescent="0.25">
      <c r="A36" t="s">
        <v>129</v>
      </c>
      <c r="B36" t="s">
        <v>130</v>
      </c>
      <c r="C36" t="s">
        <v>26</v>
      </c>
      <c r="D36" t="s">
        <v>127</v>
      </c>
      <c r="E36" t="s">
        <v>128</v>
      </c>
      <c r="F36" s="1">
        <v>226.52</v>
      </c>
      <c r="G36" t="s">
        <v>23</v>
      </c>
      <c r="H36">
        <v>0</v>
      </c>
      <c r="I36" t="s">
        <v>22</v>
      </c>
      <c r="J36">
        <v>0</v>
      </c>
      <c r="K36" t="s">
        <v>22</v>
      </c>
      <c r="L36">
        <v>0</v>
      </c>
      <c r="M36" s="1">
        <v>1300</v>
      </c>
      <c r="N36" s="1">
        <v>1300</v>
      </c>
      <c r="O36" t="s">
        <v>107</v>
      </c>
      <c r="P36" t="s">
        <v>23</v>
      </c>
    </row>
    <row r="37" spans="1:16" x14ac:dyDescent="0.25">
      <c r="A37" t="s">
        <v>131</v>
      </c>
      <c r="B37" t="s">
        <v>132</v>
      </c>
      <c r="C37" t="s">
        <v>26</v>
      </c>
      <c r="D37" t="s">
        <v>133</v>
      </c>
      <c r="E37" t="s">
        <v>134</v>
      </c>
      <c r="F37" s="1">
        <v>612.03</v>
      </c>
      <c r="G37" t="s">
        <v>23</v>
      </c>
      <c r="H37">
        <v>0</v>
      </c>
      <c r="I37" t="s">
        <v>22</v>
      </c>
      <c r="J37">
        <v>0</v>
      </c>
      <c r="K37" t="s">
        <v>22</v>
      </c>
      <c r="L37">
        <v>0</v>
      </c>
      <c r="M37" s="1">
        <v>2800</v>
      </c>
      <c r="N37" s="1">
        <v>2800</v>
      </c>
      <c r="O37" t="s">
        <v>107</v>
      </c>
      <c r="P37" t="s">
        <v>23</v>
      </c>
    </row>
    <row r="38" spans="1:16" x14ac:dyDescent="0.25">
      <c r="A38" t="s">
        <v>135</v>
      </c>
      <c r="B38" t="s">
        <v>136</v>
      </c>
      <c r="C38" t="s">
        <v>26</v>
      </c>
      <c r="D38" t="s">
        <v>133</v>
      </c>
      <c r="E38" t="s">
        <v>134</v>
      </c>
      <c r="F38" s="1">
        <v>612.03</v>
      </c>
      <c r="G38" t="s">
        <v>23</v>
      </c>
      <c r="H38">
        <v>0</v>
      </c>
      <c r="I38" t="s">
        <v>22</v>
      </c>
      <c r="J38">
        <v>0</v>
      </c>
      <c r="K38" t="s">
        <v>22</v>
      </c>
      <c r="L38">
        <v>0</v>
      </c>
      <c r="M38" s="1">
        <v>1300</v>
      </c>
      <c r="N38" s="1">
        <v>1300</v>
      </c>
      <c r="O38" t="s">
        <v>107</v>
      </c>
      <c r="P38" t="s">
        <v>23</v>
      </c>
    </row>
    <row r="39" ht="14.4" customHeight="1" spans="2:14" x14ac:dyDescent="0.25">
      <c r="B39" t="s">
        <v>137</v>
      </c>
      <c r="C39" t="s">
        <v>138</v>
      </c>
      <c r="M39" s="1">
        <v>450</v>
      </c>
      <c r="N39" s="1">
        <v>450</v>
      </c>
    </row>
    <row r="40" ht="14.4" customHeight="1" spans="2:14" x14ac:dyDescent="0.25">
      <c r="B40" t="s">
        <v>139</v>
      </c>
      <c r="C40" t="s">
        <v>140</v>
      </c>
      <c r="N40" s="1">
        <v>2000</v>
      </c>
    </row>
    <row r="41" spans="1:16" x14ac:dyDescent="0.25">
      <c r="A41" t="s">
        <v>141</v>
      </c>
      <c r="B41" t="s">
        <v>142</v>
      </c>
      <c r="C41" t="s">
        <v>26</v>
      </c>
      <c r="D41" t="s">
        <v>143</v>
      </c>
      <c r="E41" t="s">
        <v>144</v>
      </c>
      <c r="F41" s="1">
        <v>90.82</v>
      </c>
      <c r="G41" t="s">
        <v>23</v>
      </c>
      <c r="H41">
        <v>0</v>
      </c>
      <c r="I41" t="s">
        <v>22</v>
      </c>
      <c r="J41">
        <v>0</v>
      </c>
      <c r="K41" t="s">
        <v>22</v>
      </c>
      <c r="L41">
        <v>0</v>
      </c>
      <c r="M41" s="1">
        <v>450</v>
      </c>
      <c r="N41" s="1">
        <v>450</v>
      </c>
      <c r="O41" t="s">
        <v>107</v>
      </c>
      <c r="P41" t="s">
        <v>23</v>
      </c>
    </row>
    <row r="42" spans="1:16" x14ac:dyDescent="0.25">
      <c r="A42" t="s">
        <v>145</v>
      </c>
      <c r="B42" t="s">
        <v>146</v>
      </c>
      <c r="C42" t="s">
        <v>26</v>
      </c>
      <c r="D42" t="s">
        <v>147</v>
      </c>
      <c r="E42" t="s">
        <v>148</v>
      </c>
      <c r="F42" s="1">
        <v>500</v>
      </c>
      <c r="G42" t="s">
        <v>23</v>
      </c>
      <c r="H42">
        <v>0</v>
      </c>
      <c r="I42" t="s">
        <v>22</v>
      </c>
      <c r="J42">
        <v>0</v>
      </c>
      <c r="K42" t="s">
        <v>22</v>
      </c>
      <c r="L42">
        <v>0</v>
      </c>
      <c r="M42" s="1">
        <v>1800</v>
      </c>
      <c r="N42" s="1">
        <v>1800</v>
      </c>
      <c r="O42" t="s">
        <v>107</v>
      </c>
      <c r="P42" t="s">
        <v>23</v>
      </c>
    </row>
    <row r="44" spans="1:16" x14ac:dyDescent="0.25">
      <c r="A44" t="s">
        <v>149</v>
      </c>
      <c r="B44" t="s">
        <v>150</v>
      </c>
      <c r="C44" t="s">
        <v>26</v>
      </c>
      <c r="D44" t="s">
        <v>151</v>
      </c>
      <c r="E44" t="s">
        <v>152</v>
      </c>
      <c r="F44" s="1">
        <v>200</v>
      </c>
      <c r="G44" t="s">
        <v>23</v>
      </c>
      <c r="H44">
        <v>0</v>
      </c>
      <c r="I44" t="s">
        <v>22</v>
      </c>
      <c r="J44">
        <v>0</v>
      </c>
      <c r="K44" t="s">
        <v>22</v>
      </c>
      <c r="L44">
        <v>0</v>
      </c>
      <c r="M44" s="1">
        <v>700</v>
      </c>
      <c r="N44" s="1">
        <v>700</v>
      </c>
      <c r="O44" t="s">
        <v>107</v>
      </c>
      <c r="P44" t="s">
        <v>23</v>
      </c>
    </row>
    <row r="45" spans="1:16" x14ac:dyDescent="0.25">
      <c r="A45" t="s">
        <v>153</v>
      </c>
      <c r="B45" t="s">
        <v>154</v>
      </c>
      <c r="C45" t="s">
        <v>26</v>
      </c>
      <c r="D45" t="s">
        <v>155</v>
      </c>
      <c r="E45" t="s">
        <v>156</v>
      </c>
      <c r="F45" s="1">
        <v>124.08</v>
      </c>
      <c r="G45" t="s">
        <v>23</v>
      </c>
      <c r="H45">
        <v>0</v>
      </c>
      <c r="I45" t="s">
        <v>22</v>
      </c>
      <c r="J45">
        <v>0</v>
      </c>
      <c r="K45" t="s">
        <v>22</v>
      </c>
      <c r="L45">
        <v>0</v>
      </c>
      <c r="M45" s="1">
        <v>450</v>
      </c>
      <c r="N45" s="1">
        <v>450</v>
      </c>
      <c r="O45" t="s">
        <v>107</v>
      </c>
      <c r="P45" t="s">
        <v>23</v>
      </c>
    </row>
    <row r="46" spans="1:16" x14ac:dyDescent="0.25">
      <c r="A46" t="s">
        <v>157</v>
      </c>
      <c r="B46" t="s">
        <v>158</v>
      </c>
      <c r="C46" t="s">
        <v>26</v>
      </c>
      <c r="D46" t="s">
        <v>53</v>
      </c>
      <c r="E46" t="s">
        <v>159</v>
      </c>
      <c r="F46" s="1">
        <v>150</v>
      </c>
      <c r="G46" t="s">
        <v>23</v>
      </c>
      <c r="H46">
        <v>0</v>
      </c>
      <c r="I46" t="s">
        <v>22</v>
      </c>
      <c r="J46">
        <v>0</v>
      </c>
      <c r="K46" t="s">
        <v>22</v>
      </c>
      <c r="L46">
        <v>0</v>
      </c>
      <c r="M46" s="1">
        <v>550</v>
      </c>
      <c r="N46" s="1">
        <v>550</v>
      </c>
      <c r="O46" t="s">
        <v>107</v>
      </c>
      <c r="P46" t="s">
        <v>23</v>
      </c>
    </row>
    <row r="47" spans="1:16" x14ac:dyDescent="0.25">
      <c r="A47" t="s">
        <v>160</v>
      </c>
      <c r="B47" t="s">
        <v>161</v>
      </c>
      <c r="C47" t="s">
        <v>26</v>
      </c>
      <c r="D47" t="s">
        <v>162</v>
      </c>
      <c r="E47" t="s">
        <v>163</v>
      </c>
      <c r="F47" s="1">
        <v>1009.13</v>
      </c>
      <c r="G47" t="s">
        <v>23</v>
      </c>
      <c r="H47">
        <v>0</v>
      </c>
      <c r="I47" t="s">
        <v>22</v>
      </c>
      <c r="J47">
        <v>0</v>
      </c>
      <c r="K47" t="s">
        <v>22</v>
      </c>
      <c r="L47">
        <v>0</v>
      </c>
      <c r="M47" s="1">
        <v>4200</v>
      </c>
      <c r="N47" s="1">
        <v>4200</v>
      </c>
      <c r="O47" t="s">
        <v>107</v>
      </c>
      <c r="P47" t="s">
        <v>23</v>
      </c>
    </row>
    <row r="48" spans="1:16" x14ac:dyDescent="0.25">
      <c r="A48" t="s">
        <v>164</v>
      </c>
      <c r="B48" t="s">
        <v>165</v>
      </c>
      <c r="C48" t="s">
        <v>26</v>
      </c>
      <c r="D48" t="s">
        <v>155</v>
      </c>
      <c r="E48" t="s">
        <v>166</v>
      </c>
      <c r="F48" s="1">
        <v>124.66</v>
      </c>
      <c r="G48" t="s">
        <v>23</v>
      </c>
      <c r="H48">
        <v>0</v>
      </c>
      <c r="I48" t="s">
        <v>22</v>
      </c>
      <c r="J48">
        <v>0</v>
      </c>
      <c r="K48" t="s">
        <v>22</v>
      </c>
      <c r="L48">
        <v>0</v>
      </c>
      <c r="M48" s="1">
        <v>450</v>
      </c>
      <c r="N48" s="1">
        <v>450</v>
      </c>
      <c r="O48" t="s">
        <v>107</v>
      </c>
      <c r="P48" t="s">
        <v>23</v>
      </c>
    </row>
    <row r="49" spans="1:16" x14ac:dyDescent="0.25">
      <c r="A49" t="s">
        <v>167</v>
      </c>
      <c r="B49" t="s">
        <v>168</v>
      </c>
      <c r="C49" t="s">
        <v>26</v>
      </c>
      <c r="D49" t="s">
        <v>169</v>
      </c>
      <c r="E49" t="s">
        <v>170</v>
      </c>
      <c r="F49" s="1">
        <v>460.69</v>
      </c>
      <c r="G49" t="s">
        <v>23</v>
      </c>
      <c r="H49">
        <v>0</v>
      </c>
      <c r="I49" t="s">
        <v>22</v>
      </c>
      <c r="J49">
        <v>0</v>
      </c>
      <c r="K49" t="s">
        <v>22</v>
      </c>
      <c r="L49">
        <v>0</v>
      </c>
      <c r="M49" s="1">
        <v>1300</v>
      </c>
      <c r="N49" s="1">
        <v>1300</v>
      </c>
      <c r="O49" t="s">
        <v>107</v>
      </c>
      <c r="P49" t="s">
        <v>23</v>
      </c>
    </row>
    <row r="51" spans="1:16" x14ac:dyDescent="0.25">
      <c r="A51">
        <v>1</v>
      </c>
      <c r="B51" t="s">
        <v>171</v>
      </c>
      <c r="C51" t="s">
        <v>172</v>
      </c>
      <c r="D51" t="s">
        <v>173</v>
      </c>
      <c r="E51" t="s">
        <v>174</v>
      </c>
      <c r="F51" s="1">
        <v>150</v>
      </c>
      <c r="G51" t="s">
        <v>23</v>
      </c>
      <c r="H51">
        <v>0</v>
      </c>
      <c r="I51" t="s">
        <v>22</v>
      </c>
      <c r="J51">
        <v>0</v>
      </c>
      <c r="K51" t="s">
        <v>22</v>
      </c>
      <c r="L51">
        <v>0</v>
      </c>
      <c r="M51" s="1">
        <v>600</v>
      </c>
      <c r="N51" s="1">
        <v>750</v>
      </c>
      <c r="O51" t="s">
        <v>23</v>
      </c>
      <c r="P51" t="s">
        <v>23</v>
      </c>
    </row>
    <row r="52" spans="1:16" x14ac:dyDescent="0.25">
      <c r="A52">
        <v>2</v>
      </c>
      <c r="B52" t="s">
        <v>175</v>
      </c>
      <c r="C52" t="s">
        <v>176</v>
      </c>
      <c r="D52" t="s">
        <v>177</v>
      </c>
      <c r="E52" t="s">
        <v>178</v>
      </c>
      <c r="F52" s="1">
        <v>150</v>
      </c>
      <c r="G52" t="s">
        <v>23</v>
      </c>
      <c r="H52">
        <v>0</v>
      </c>
      <c r="I52" t="s">
        <v>22</v>
      </c>
      <c r="J52">
        <v>0</v>
      </c>
      <c r="K52" t="s">
        <v>22</v>
      </c>
      <c r="L52">
        <v>0</v>
      </c>
      <c r="M52" s="1">
        <v>450</v>
      </c>
      <c r="N52" s="1">
        <v>600</v>
      </c>
      <c r="O52" t="s">
        <v>23</v>
      </c>
      <c r="P52" t="s">
        <v>23</v>
      </c>
    </row>
    <row r="53" spans="1:16" x14ac:dyDescent="0.25">
      <c r="A53">
        <v>3</v>
      </c>
      <c r="B53" t="s">
        <v>179</v>
      </c>
      <c r="C53" t="s">
        <v>176</v>
      </c>
      <c r="D53" t="s">
        <v>177</v>
      </c>
      <c r="E53" t="s">
        <v>180</v>
      </c>
      <c r="F53" s="1">
        <v>150</v>
      </c>
      <c r="G53" t="s">
        <v>23</v>
      </c>
      <c r="H53">
        <v>0</v>
      </c>
      <c r="I53" t="s">
        <v>22</v>
      </c>
      <c r="J53">
        <v>0</v>
      </c>
      <c r="K53" t="s">
        <v>22</v>
      </c>
      <c r="L53">
        <v>0</v>
      </c>
      <c r="M53" s="1">
        <v>450</v>
      </c>
      <c r="N53" s="1">
        <v>600</v>
      </c>
      <c r="O53" t="s">
        <v>23</v>
      </c>
      <c r="P53" t="s">
        <v>23</v>
      </c>
    </row>
    <row r="54" spans="1:16" x14ac:dyDescent="0.25">
      <c r="A54">
        <v>4</v>
      </c>
      <c r="B54" t="s">
        <v>181</v>
      </c>
      <c r="C54" t="s">
        <v>176</v>
      </c>
      <c r="D54" t="s">
        <v>177</v>
      </c>
      <c r="E54" t="s">
        <v>180</v>
      </c>
      <c r="F54" s="1">
        <v>150</v>
      </c>
      <c r="G54" t="s">
        <v>23</v>
      </c>
      <c r="H54">
        <v>0</v>
      </c>
      <c r="I54" t="s">
        <v>22</v>
      </c>
      <c r="J54">
        <v>0</v>
      </c>
      <c r="K54" t="s">
        <v>22</v>
      </c>
      <c r="L54">
        <v>0</v>
      </c>
      <c r="M54" s="1">
        <v>450</v>
      </c>
      <c r="N54" s="1">
        <v>600</v>
      </c>
      <c r="O54" t="s">
        <v>23</v>
      </c>
      <c r="P54" t="s">
        <v>23</v>
      </c>
    </row>
    <row r="55" spans="1:16" x14ac:dyDescent="0.25">
      <c r="A55">
        <v>5</v>
      </c>
      <c r="B55" t="s">
        <v>182</v>
      </c>
      <c r="C55" t="s">
        <v>176</v>
      </c>
      <c r="D55" t="s">
        <v>177</v>
      </c>
      <c r="E55" t="s">
        <v>180</v>
      </c>
      <c r="F55" s="1">
        <v>150</v>
      </c>
      <c r="G55" t="s">
        <v>23</v>
      </c>
      <c r="H55">
        <v>0</v>
      </c>
      <c r="I55" t="s">
        <v>22</v>
      </c>
      <c r="J55">
        <v>0</v>
      </c>
      <c r="K55" t="s">
        <v>22</v>
      </c>
      <c r="L55">
        <v>0</v>
      </c>
      <c r="M55" s="1">
        <v>450</v>
      </c>
      <c r="N55" s="1">
        <v>600</v>
      </c>
      <c r="O55" t="s">
        <v>23</v>
      </c>
      <c r="P55" t="s">
        <v>23</v>
      </c>
    </row>
    <row r="56" spans="1:16" x14ac:dyDescent="0.25">
      <c r="A56">
        <v>6</v>
      </c>
      <c r="B56" t="s">
        <v>183</v>
      </c>
      <c r="C56" t="s">
        <v>26</v>
      </c>
      <c r="D56" t="s">
        <v>184</v>
      </c>
      <c r="E56" t="s">
        <v>180</v>
      </c>
      <c r="F56" s="1">
        <v>150</v>
      </c>
      <c r="G56" t="s">
        <v>23</v>
      </c>
      <c r="H56">
        <v>0</v>
      </c>
      <c r="I56" t="s">
        <v>22</v>
      </c>
      <c r="J56">
        <v>0</v>
      </c>
      <c r="K56" t="s">
        <v>22</v>
      </c>
      <c r="L56">
        <v>0</v>
      </c>
      <c r="M56" s="1">
        <v>450</v>
      </c>
      <c r="N56" s="1">
        <v>600</v>
      </c>
      <c r="O56" t="s">
        <v>23</v>
      </c>
      <c r="P56" t="s">
        <v>23</v>
      </c>
    </row>
    <row r="57" spans="1:16" x14ac:dyDescent="0.25">
      <c r="A57">
        <v>7</v>
      </c>
      <c r="B57" t="s">
        <v>185</v>
      </c>
      <c r="C57" t="s">
        <v>26</v>
      </c>
      <c r="D57" t="s">
        <v>184</v>
      </c>
      <c r="E57" t="s">
        <v>180</v>
      </c>
      <c r="F57" s="1">
        <v>150</v>
      </c>
      <c r="G57" t="s">
        <v>23</v>
      </c>
      <c r="H57">
        <v>0</v>
      </c>
      <c r="I57" t="s">
        <v>22</v>
      </c>
      <c r="J57">
        <v>0</v>
      </c>
      <c r="K57" t="s">
        <v>22</v>
      </c>
      <c r="L57">
        <v>0</v>
      </c>
      <c r="M57" s="1">
        <v>450</v>
      </c>
      <c r="N57" s="1">
        <v>600</v>
      </c>
      <c r="O57" t="s">
        <v>23</v>
      </c>
      <c r="P57" t="s">
        <v>23</v>
      </c>
    </row>
    <row r="58" spans="1:16" x14ac:dyDescent="0.25">
      <c r="A58">
        <v>8</v>
      </c>
      <c r="B58" t="s">
        <v>186</v>
      </c>
      <c r="C58" t="s">
        <v>26</v>
      </c>
      <c r="D58" t="s">
        <v>184</v>
      </c>
      <c r="E58" t="s">
        <v>180</v>
      </c>
      <c r="F58" s="1">
        <v>150</v>
      </c>
      <c r="G58" t="s">
        <v>23</v>
      </c>
      <c r="H58">
        <v>0</v>
      </c>
      <c r="I58" t="s">
        <v>22</v>
      </c>
      <c r="J58">
        <v>0</v>
      </c>
      <c r="K58" t="s">
        <v>22</v>
      </c>
      <c r="L58">
        <v>0</v>
      </c>
      <c r="M58" s="1">
        <v>450</v>
      </c>
      <c r="N58" s="1">
        <v>600</v>
      </c>
      <c r="O58" t="s">
        <v>23</v>
      </c>
      <c r="P58" t="s">
        <v>23</v>
      </c>
    </row>
    <row r="59" spans="1:16" x14ac:dyDescent="0.25">
      <c r="A59">
        <v>9</v>
      </c>
      <c r="B59" t="s">
        <v>187</v>
      </c>
      <c r="C59" t="s">
        <v>26</v>
      </c>
      <c r="D59" t="s">
        <v>184</v>
      </c>
      <c r="E59" t="s">
        <v>180</v>
      </c>
      <c r="F59" s="1">
        <v>150</v>
      </c>
      <c r="G59" t="s">
        <v>23</v>
      </c>
      <c r="H59">
        <v>0</v>
      </c>
      <c r="I59" t="s">
        <v>22</v>
      </c>
      <c r="J59">
        <v>0</v>
      </c>
      <c r="K59" t="s">
        <v>22</v>
      </c>
      <c r="L59">
        <v>0</v>
      </c>
      <c r="M59" s="1">
        <v>450</v>
      </c>
      <c r="N59" s="1">
        <v>600</v>
      </c>
      <c r="O59" t="s">
        <v>23</v>
      </c>
      <c r="P59" t="s">
        <v>23</v>
      </c>
    </row>
    <row r="60" spans="1:16" x14ac:dyDescent="0.25">
      <c r="A60">
        <v>10</v>
      </c>
      <c r="B60" t="s">
        <v>188</v>
      </c>
      <c r="C60" t="s">
        <v>26</v>
      </c>
      <c r="D60" t="s">
        <v>184</v>
      </c>
      <c r="E60" t="s">
        <v>180</v>
      </c>
      <c r="F60" s="1">
        <v>150</v>
      </c>
      <c r="G60" t="s">
        <v>23</v>
      </c>
      <c r="H60">
        <v>0</v>
      </c>
      <c r="I60" t="s">
        <v>22</v>
      </c>
      <c r="J60">
        <v>0</v>
      </c>
      <c r="K60" t="s">
        <v>22</v>
      </c>
      <c r="L60">
        <v>0</v>
      </c>
      <c r="M60" s="1">
        <v>450</v>
      </c>
      <c r="N60" s="1">
        <v>600</v>
      </c>
      <c r="O60" t="s">
        <v>23</v>
      </c>
      <c r="P60" t="s">
        <v>23</v>
      </c>
    </row>
    <row r="61" spans="1:16" x14ac:dyDescent="0.25">
      <c r="A61">
        <v>11</v>
      </c>
      <c r="B61" t="s">
        <v>189</v>
      </c>
      <c r="C61" t="s">
        <v>43</v>
      </c>
      <c r="D61" t="s">
        <v>190</v>
      </c>
      <c r="E61" t="s">
        <v>191</v>
      </c>
      <c r="F61" s="1">
        <v>150</v>
      </c>
      <c r="G61" t="s">
        <v>23</v>
      </c>
      <c r="H61">
        <v>0</v>
      </c>
      <c r="I61" t="s">
        <v>22</v>
      </c>
      <c r="J61">
        <v>0</v>
      </c>
      <c r="K61" t="s">
        <v>22</v>
      </c>
      <c r="L61">
        <v>0</v>
      </c>
      <c r="M61" s="1">
        <v>650</v>
      </c>
      <c r="N61" s="1">
        <v>800</v>
      </c>
      <c r="O61" t="s">
        <v>23</v>
      </c>
      <c r="P61" t="s">
        <v>23</v>
      </c>
    </row>
    <row r="62" ht="14.4" customHeight="1" spans="1:14" x14ac:dyDescent="0.25">
      <c r="A62">
        <v>12</v>
      </c>
      <c r="B62" t="s">
        <v>192</v>
      </c>
      <c r="N62" s="1">
        <v>100</v>
      </c>
    </row>
    <row r="63" ht="14.4" customHeight="1" spans="1:14" x14ac:dyDescent="0.25">
      <c r="A63">
        <v>13</v>
      </c>
      <c r="B63" t="s">
        <v>193</v>
      </c>
      <c r="N63" s="1">
        <v>100</v>
      </c>
    </row>
    <row r="64" ht="14.4" customHeight="1" spans="1:14" x14ac:dyDescent="0.25">
      <c r="A64">
        <v>14</v>
      </c>
      <c r="B64" t="s">
        <v>194</v>
      </c>
      <c r="N64" s="1">
        <v>580</v>
      </c>
    </row>
    <row r="65" ht="14.4" customHeight="1" spans="1:14" x14ac:dyDescent="0.25">
      <c r="A65">
        <v>15</v>
      </c>
      <c r="B65" t="s">
        <v>195</v>
      </c>
      <c r="N65" s="1">
        <v>380</v>
      </c>
    </row>
    <row r="66" spans="2:16" x14ac:dyDescent="0.25">
      <c r="B66" t="s">
        <v>196</v>
      </c>
      <c r="C66" t="s">
        <v>197</v>
      </c>
      <c r="D66" t="s">
        <v>198</v>
      </c>
      <c r="E66" t="s">
        <v>199</v>
      </c>
      <c r="F66" s="1">
        <v>550</v>
      </c>
      <c r="G66" t="s">
        <v>23</v>
      </c>
      <c r="H66">
        <v>0</v>
      </c>
      <c r="I66" t="s">
        <v>22</v>
      </c>
      <c r="J66">
        <v>0</v>
      </c>
      <c r="K66" t="s">
        <v>22</v>
      </c>
      <c r="L66">
        <v>0</v>
      </c>
      <c r="M66" s="1">
        <v>4150</v>
      </c>
      <c r="N66" s="1">
        <v>4700</v>
      </c>
      <c r="O66" t="s">
        <v>85</v>
      </c>
      <c r="P66" t="s">
        <v>23</v>
      </c>
    </row>
    <row r="67" spans="2:16" x14ac:dyDescent="0.25">
      <c r="B67" t="s">
        <v>200</v>
      </c>
      <c r="C67" t="s">
        <v>197</v>
      </c>
      <c r="D67" t="s">
        <v>201</v>
      </c>
      <c r="E67" t="s">
        <v>202</v>
      </c>
      <c r="F67" s="1">
        <v>400</v>
      </c>
      <c r="G67" t="s">
        <v>23</v>
      </c>
      <c r="H67">
        <v>0</v>
      </c>
      <c r="I67" t="s">
        <v>22</v>
      </c>
      <c r="J67">
        <v>0</v>
      </c>
      <c r="K67" t="s">
        <v>22</v>
      </c>
      <c r="L67">
        <v>0</v>
      </c>
      <c r="M67" s="1">
        <v>1500</v>
      </c>
      <c r="N67" s="1">
        <v>1900</v>
      </c>
      <c r="O67" t="s">
        <v>85</v>
      </c>
      <c r="P67" t="s">
        <v>23</v>
      </c>
    </row>
    <row r="68" spans="2:16" x14ac:dyDescent="0.25">
      <c r="B68" t="s">
        <v>17</v>
      </c>
      <c r="C68" t="s">
        <v>39</v>
      </c>
      <c r="D68" t="s">
        <v>203</v>
      </c>
      <c r="E68" t="s">
        <v>20</v>
      </c>
      <c r="F68" s="1">
        <v>3093.96</v>
      </c>
      <c r="G68" t="s">
        <v>23</v>
      </c>
      <c r="H68">
        <v>0</v>
      </c>
      <c r="I68" t="s">
        <v>22</v>
      </c>
      <c r="J68">
        <v>0</v>
      </c>
      <c r="K68" t="s">
        <v>22</v>
      </c>
      <c r="L68">
        <v>0</v>
      </c>
      <c r="M68" s="1">
        <v>10127.11</v>
      </c>
      <c r="N68" s="1">
        <v>13221.07</v>
      </c>
      <c r="O68" t="s">
        <v>85</v>
      </c>
      <c r="P68" t="s">
        <v>204</v>
      </c>
    </row>
    <row r="69" spans="1:16" x14ac:dyDescent="0.25">
      <c r="A69" t="s">
        <v>205</v>
      </c>
      <c r="B69" t="s">
        <v>17</v>
      </c>
      <c r="C69" t="s">
        <v>26</v>
      </c>
      <c r="D69" t="s">
        <v>30</v>
      </c>
      <c r="E69" t="s">
        <v>20</v>
      </c>
      <c r="F69" s="1">
        <v>4657.5</v>
      </c>
      <c r="G69" t="s">
        <v>23</v>
      </c>
      <c r="H69">
        <v>0</v>
      </c>
      <c r="I69" t="s">
        <v>22</v>
      </c>
      <c r="J69">
        <v>0</v>
      </c>
      <c r="K69" t="s">
        <v>22</v>
      </c>
      <c r="L69">
        <v>0</v>
      </c>
      <c r="M69" s="1">
        <v>9367.58</v>
      </c>
      <c r="N69" s="1">
        <v>14025.08</v>
      </c>
      <c r="O69" t="s">
        <v>23</v>
      </c>
      <c r="P69" t="s">
        <v>23</v>
      </c>
    </row>
    <row r="70" spans="1:16" x14ac:dyDescent="0.25">
      <c r="A70" t="s">
        <v>206</v>
      </c>
      <c r="B70" t="s">
        <v>17</v>
      </c>
      <c r="C70" t="s">
        <v>18</v>
      </c>
      <c r="D70" t="s">
        <v>19</v>
      </c>
      <c r="E70" t="s">
        <v>20</v>
      </c>
      <c r="F70" s="1">
        <v>4037.88</v>
      </c>
      <c r="G70" t="s">
        <v>23</v>
      </c>
      <c r="H70">
        <v>0</v>
      </c>
      <c r="I70" t="s">
        <v>22</v>
      </c>
      <c r="J70">
        <v>0</v>
      </c>
      <c r="K70" t="s">
        <v>22</v>
      </c>
      <c r="L70">
        <v>0</v>
      </c>
      <c r="M70" s="1">
        <v>9367.58</v>
      </c>
      <c r="N70" s="1">
        <v>13405.46</v>
      </c>
      <c r="O70" t="s">
        <v>23</v>
      </c>
      <c r="P70" t="s">
        <v>23</v>
      </c>
    </row>
    <row r="71" spans="1:16" x14ac:dyDescent="0.25">
      <c r="A71" t="s">
        <v>207</v>
      </c>
      <c r="B71" t="s">
        <v>17</v>
      </c>
      <c r="C71" t="s">
        <v>26</v>
      </c>
      <c r="D71" t="s">
        <v>30</v>
      </c>
      <c r="E71" t="s">
        <v>20</v>
      </c>
      <c r="F71" s="1">
        <v>4657.5</v>
      </c>
      <c r="G71" t="s">
        <v>23</v>
      </c>
      <c r="H71">
        <v>0</v>
      </c>
      <c r="I71" t="s">
        <v>22</v>
      </c>
      <c r="J71">
        <v>0</v>
      </c>
      <c r="K71" t="s">
        <v>22</v>
      </c>
      <c r="L71">
        <v>0</v>
      </c>
      <c r="M71" s="1">
        <v>10127.11</v>
      </c>
      <c r="N71" s="1">
        <v>14784.61</v>
      </c>
      <c r="O71" t="s">
        <v>85</v>
      </c>
      <c r="P71" t="s">
        <v>204</v>
      </c>
    </row>
    <row r="72" spans="1:16" x14ac:dyDescent="0.25">
      <c r="A72" t="s">
        <v>208</v>
      </c>
      <c r="B72" t="s">
        <v>17</v>
      </c>
      <c r="C72" t="s">
        <v>18</v>
      </c>
      <c r="D72" t="s">
        <v>19</v>
      </c>
      <c r="E72" t="s">
        <v>20</v>
      </c>
      <c r="F72" s="1">
        <v>4037.88</v>
      </c>
      <c r="G72" t="s">
        <v>23</v>
      </c>
      <c r="H72">
        <v>0</v>
      </c>
      <c r="I72" t="s">
        <v>22</v>
      </c>
      <c r="J72">
        <v>0</v>
      </c>
      <c r="K72" t="s">
        <v>22</v>
      </c>
      <c r="L72">
        <v>0</v>
      </c>
      <c r="M72" s="1">
        <v>10127.11</v>
      </c>
      <c r="N72" s="1">
        <v>14164.99</v>
      </c>
      <c r="O72" t="s">
        <v>23</v>
      </c>
      <c r="P72" t="s">
        <v>23</v>
      </c>
    </row>
    <row r="73" spans="1:16" x14ac:dyDescent="0.25">
      <c r="A73" t="s">
        <v>209</v>
      </c>
      <c r="B73" t="s">
        <v>56</v>
      </c>
      <c r="C73" t="s">
        <v>43</v>
      </c>
      <c r="D73" t="s">
        <v>210</v>
      </c>
      <c r="E73" t="s">
        <v>59</v>
      </c>
      <c r="F73" s="1">
        <v>152.43</v>
      </c>
      <c r="G73" t="s">
        <v>23</v>
      </c>
      <c r="H73">
        <v>0</v>
      </c>
      <c r="I73" t="s">
        <v>22</v>
      </c>
      <c r="J73">
        <v>0</v>
      </c>
      <c r="K73" t="s">
        <v>22</v>
      </c>
      <c r="L73">
        <v>0</v>
      </c>
      <c r="M73" s="1">
        <v>333.03</v>
      </c>
      <c r="N73" s="1">
        <v>485.46</v>
      </c>
      <c r="O73" t="s">
        <v>23</v>
      </c>
      <c r="P73" t="s">
        <v>23</v>
      </c>
    </row>
    <row r="74" spans="1:16" x14ac:dyDescent="0.25">
      <c r="A74" t="s">
        <v>211</v>
      </c>
      <c r="B74" t="s">
        <v>17</v>
      </c>
      <c r="C74" t="s">
        <v>26</v>
      </c>
      <c r="D74" t="s">
        <v>30</v>
      </c>
      <c r="E74" t="s">
        <v>20</v>
      </c>
      <c r="F74" s="1">
        <v>4657.5</v>
      </c>
      <c r="G74" t="s">
        <v>23</v>
      </c>
      <c r="H74">
        <v>0</v>
      </c>
      <c r="I74" t="s">
        <v>22</v>
      </c>
      <c r="J74">
        <v>0</v>
      </c>
      <c r="K74" t="s">
        <v>22</v>
      </c>
      <c r="L74">
        <v>0</v>
      </c>
      <c r="M74" s="1">
        <v>10127.11</v>
      </c>
      <c r="N74" s="1">
        <v>14784.61</v>
      </c>
      <c r="O74" t="s">
        <v>23</v>
      </c>
      <c r="P74" t="s">
        <v>23</v>
      </c>
    </row>
    <row r="75" spans="1:16" x14ac:dyDescent="0.25">
      <c r="A75" t="s">
        <v>212</v>
      </c>
      <c r="B75" t="s">
        <v>17</v>
      </c>
      <c r="C75" t="s">
        <v>26</v>
      </c>
      <c r="D75" t="s">
        <v>30</v>
      </c>
      <c r="E75" t="s">
        <v>20</v>
      </c>
      <c r="F75" s="1">
        <v>4657.5</v>
      </c>
      <c r="G75" t="s">
        <v>23</v>
      </c>
      <c r="H75">
        <v>0</v>
      </c>
      <c r="I75" t="s">
        <v>22</v>
      </c>
      <c r="J75">
        <v>0</v>
      </c>
      <c r="K75" t="s">
        <v>22</v>
      </c>
      <c r="L75">
        <v>0</v>
      </c>
      <c r="M75" s="1">
        <v>10127.11</v>
      </c>
      <c r="N75" s="1">
        <v>10127.11</v>
      </c>
      <c r="O75" t="s">
        <v>107</v>
      </c>
      <c r="P75" t="s">
        <v>204</v>
      </c>
    </row>
    <row r="76" spans="1:16" x14ac:dyDescent="0.25">
      <c r="A76" t="s">
        <v>213</v>
      </c>
      <c r="B76" t="s">
        <v>17</v>
      </c>
      <c r="C76" t="s">
        <v>18</v>
      </c>
      <c r="D76" t="s">
        <v>214</v>
      </c>
      <c r="E76" t="s">
        <v>215</v>
      </c>
      <c r="F76" s="1">
        <v>4850</v>
      </c>
      <c r="G76" t="s">
        <v>21</v>
      </c>
      <c r="H76">
        <v>3400</v>
      </c>
      <c r="I76" t="s">
        <v>22</v>
      </c>
      <c r="J76">
        <v>0</v>
      </c>
      <c r="K76" t="s">
        <v>22</v>
      </c>
      <c r="L76">
        <v>0</v>
      </c>
      <c r="M76" s="1">
        <v>15650</v>
      </c>
      <c r="N76" s="1">
        <v>23900</v>
      </c>
      <c r="O76" t="s">
        <v>85</v>
      </c>
      <c r="P76" t="s">
        <v>23</v>
      </c>
    </row>
    <row r="77" spans="1:16" x14ac:dyDescent="0.25">
      <c r="A77" t="s">
        <v>216</v>
      </c>
      <c r="B77" t="s">
        <v>17</v>
      </c>
      <c r="C77" t="s">
        <v>217</v>
      </c>
      <c r="D77" t="s">
        <v>218</v>
      </c>
      <c r="E77" t="s">
        <v>20</v>
      </c>
      <c r="F77" s="1">
        <v>3398.25</v>
      </c>
      <c r="G77" t="s">
        <v>23</v>
      </c>
      <c r="H77">
        <v>0</v>
      </c>
      <c r="I77" t="s">
        <v>22</v>
      </c>
      <c r="J77">
        <v>0</v>
      </c>
      <c r="K77" t="s">
        <v>22</v>
      </c>
      <c r="L77">
        <v>0</v>
      </c>
      <c r="M77" s="1">
        <v>10127.11</v>
      </c>
      <c r="N77" s="1">
        <v>13525.36</v>
      </c>
      <c r="O77" t="s">
        <v>23</v>
      </c>
      <c r="P77" t="s">
        <v>23</v>
      </c>
    </row>
    <row r="78" spans="1:16" x14ac:dyDescent="0.25">
      <c r="A78" t="s">
        <v>219</v>
      </c>
      <c r="B78" t="s">
        <v>17</v>
      </c>
      <c r="C78" t="s">
        <v>217</v>
      </c>
      <c r="D78" t="s">
        <v>220</v>
      </c>
      <c r="E78" t="s">
        <v>20</v>
      </c>
      <c r="F78" s="1">
        <v>3091.2</v>
      </c>
      <c r="G78" t="s">
        <v>21</v>
      </c>
      <c r="H78">
        <v>3325.53</v>
      </c>
      <c r="I78" t="s">
        <v>22</v>
      </c>
      <c r="J78">
        <v>0</v>
      </c>
      <c r="K78" t="s">
        <v>22</v>
      </c>
      <c r="L78">
        <v>0</v>
      </c>
      <c r="M78" s="1">
        <v>10127.11</v>
      </c>
      <c r="N78" s="1">
        <v>16543.84</v>
      </c>
      <c r="O78" t="s">
        <v>23</v>
      </c>
      <c r="P78" t="s">
        <v>23</v>
      </c>
    </row>
    <row r="79" spans="1:16" x14ac:dyDescent="0.25">
      <c r="A79" t="s">
        <v>221</v>
      </c>
      <c r="B79" t="s">
        <v>17</v>
      </c>
      <c r="C79" t="s">
        <v>26</v>
      </c>
      <c r="D79" t="s">
        <v>30</v>
      </c>
      <c r="E79" t="s">
        <v>20</v>
      </c>
      <c r="F79" s="1">
        <v>4700</v>
      </c>
      <c r="G79" t="s">
        <v>21</v>
      </c>
      <c r="H79">
        <v>3350</v>
      </c>
      <c r="I79" t="s">
        <v>22</v>
      </c>
      <c r="J79">
        <v>0</v>
      </c>
      <c r="K79" t="s">
        <v>22</v>
      </c>
      <c r="L79">
        <v>0</v>
      </c>
      <c r="M79" s="1">
        <v>9650</v>
      </c>
      <c r="N79" s="1">
        <v>17700</v>
      </c>
      <c r="O79" t="s">
        <v>85</v>
      </c>
      <c r="P79" t="s">
        <v>204</v>
      </c>
    </row>
    <row r="80" spans="1:16" x14ac:dyDescent="0.25">
      <c r="A80" t="s">
        <v>222</v>
      </c>
      <c r="B80" t="s">
        <v>46</v>
      </c>
      <c r="C80" t="s">
        <v>39</v>
      </c>
      <c r="D80" t="s">
        <v>58</v>
      </c>
      <c r="E80" t="s">
        <v>49</v>
      </c>
      <c r="F80" s="1">
        <v>350</v>
      </c>
      <c r="G80" t="s">
        <v>23</v>
      </c>
      <c r="H80">
        <v>0</v>
      </c>
      <c r="I80" t="s">
        <v>22</v>
      </c>
      <c r="J80">
        <v>0</v>
      </c>
      <c r="K80" t="s">
        <v>22</v>
      </c>
      <c r="L80">
        <v>0</v>
      </c>
      <c r="M80" s="1">
        <v>1850</v>
      </c>
      <c r="N80" s="1">
        <v>2200</v>
      </c>
      <c r="O80" t="s">
        <v>23</v>
      </c>
      <c r="P80" t="s">
        <v>23</v>
      </c>
    </row>
    <row r="81" spans="1:16" x14ac:dyDescent="0.25">
      <c r="A81" t="s">
        <v>223</v>
      </c>
      <c r="B81" t="s">
        <v>25</v>
      </c>
      <c r="C81" t="s">
        <v>224</v>
      </c>
      <c r="D81" t="s">
        <v>225</v>
      </c>
      <c r="E81" t="s">
        <v>28</v>
      </c>
      <c r="F81" s="1">
        <v>32200</v>
      </c>
      <c r="G81" t="s">
        <v>23</v>
      </c>
      <c r="H81">
        <v>0</v>
      </c>
      <c r="I81" t="s">
        <v>22</v>
      </c>
      <c r="J81">
        <v>0</v>
      </c>
      <c r="K81" t="s">
        <v>22</v>
      </c>
      <c r="L81">
        <v>0</v>
      </c>
      <c r="M81" s="1">
        <v>23300</v>
      </c>
      <c r="N81" s="1">
        <v>55500</v>
      </c>
      <c r="O81" t="s">
        <v>23</v>
      </c>
      <c r="P81" t="s">
        <v>23</v>
      </c>
    </row>
    <row r="82" spans="1:16" x14ac:dyDescent="0.25">
      <c r="A82" t="s">
        <v>226</v>
      </c>
      <c r="B82" t="s">
        <v>227</v>
      </c>
      <c r="C82" t="s">
        <v>197</v>
      </c>
      <c r="D82" t="s">
        <v>190</v>
      </c>
      <c r="E82" t="s">
        <v>228</v>
      </c>
      <c r="F82" s="1">
        <v>150</v>
      </c>
      <c r="G82" t="s">
        <v>23</v>
      </c>
      <c r="H82">
        <v>0</v>
      </c>
      <c r="I82" t="s">
        <v>22</v>
      </c>
      <c r="J82">
        <v>0</v>
      </c>
      <c r="K82" t="s">
        <v>22</v>
      </c>
      <c r="L82">
        <v>0</v>
      </c>
      <c r="M82" s="1">
        <v>450</v>
      </c>
      <c r="N82" s="1">
        <v>600</v>
      </c>
      <c r="O82" t="s">
        <v>23</v>
      </c>
      <c r="P82" t="s">
        <v>23</v>
      </c>
    </row>
    <row r="83" spans="1:16" x14ac:dyDescent="0.25">
      <c r="A83" t="s">
        <v>229</v>
      </c>
      <c r="B83" t="s">
        <v>227</v>
      </c>
      <c r="C83" t="s">
        <v>197</v>
      </c>
      <c r="D83" t="s">
        <v>190</v>
      </c>
      <c r="E83" t="s">
        <v>228</v>
      </c>
      <c r="F83" s="1">
        <v>150</v>
      </c>
      <c r="G83" t="s">
        <v>23</v>
      </c>
      <c r="H83">
        <v>0</v>
      </c>
      <c r="I83" t="s">
        <v>22</v>
      </c>
      <c r="J83">
        <v>0</v>
      </c>
      <c r="K83" t="s">
        <v>22</v>
      </c>
      <c r="L83">
        <v>0</v>
      </c>
      <c r="M83" s="1">
        <v>550</v>
      </c>
      <c r="N83" s="1">
        <v>700</v>
      </c>
      <c r="O83" t="s">
        <v>85</v>
      </c>
      <c r="P83" t="s">
        <v>23</v>
      </c>
    </row>
    <row r="84" spans="1:16" x14ac:dyDescent="0.25">
      <c r="A84" t="s">
        <v>230</v>
      </c>
      <c r="B84" t="s">
        <v>17</v>
      </c>
      <c r="C84" t="s">
        <v>18</v>
      </c>
      <c r="D84" t="s">
        <v>19</v>
      </c>
      <c r="E84" t="s">
        <v>20</v>
      </c>
      <c r="F84" s="1">
        <v>4037.88</v>
      </c>
      <c r="G84" t="s">
        <v>23</v>
      </c>
      <c r="H84">
        <v>0</v>
      </c>
      <c r="I84" t="s">
        <v>22</v>
      </c>
      <c r="J84">
        <v>0</v>
      </c>
      <c r="K84" t="s">
        <v>22</v>
      </c>
      <c r="L84">
        <v>0</v>
      </c>
      <c r="M84" s="1">
        <v>9620.75</v>
      </c>
      <c r="N84" s="1">
        <v>13658.63</v>
      </c>
      <c r="O84" t="s">
        <v>23</v>
      </c>
      <c r="P84" t="s">
        <v>23</v>
      </c>
    </row>
    <row r="85" spans="1:16" x14ac:dyDescent="0.25">
      <c r="A85" t="s">
        <v>231</v>
      </c>
      <c r="B85" t="s">
        <v>17</v>
      </c>
      <c r="C85" t="s">
        <v>26</v>
      </c>
      <c r="D85" t="s">
        <v>30</v>
      </c>
      <c r="E85" t="s">
        <v>20</v>
      </c>
      <c r="F85" s="1">
        <v>4657.5</v>
      </c>
      <c r="G85" t="s">
        <v>23</v>
      </c>
      <c r="H85">
        <v>0</v>
      </c>
      <c r="I85" t="s">
        <v>22</v>
      </c>
      <c r="J85">
        <v>0</v>
      </c>
      <c r="K85" t="s">
        <v>22</v>
      </c>
      <c r="L85">
        <v>0</v>
      </c>
      <c r="M85" s="1">
        <v>9367.58</v>
      </c>
      <c r="N85" s="1">
        <v>14025.08</v>
      </c>
      <c r="O85" t="s">
        <v>23</v>
      </c>
      <c r="P85" t="s">
        <v>23</v>
      </c>
    </row>
    <row r="87" spans="1:16" x14ac:dyDescent="0.25">
      <c r="A87" t="s">
        <v>232</v>
      </c>
      <c r="B87" t="s">
        <v>233</v>
      </c>
      <c r="C87" t="s">
        <v>234</v>
      </c>
      <c r="D87" t="s">
        <v>235</v>
      </c>
      <c r="E87" t="s">
        <v>236</v>
      </c>
      <c r="F87" s="1">
        <v>150</v>
      </c>
      <c r="G87" t="s">
        <v>23</v>
      </c>
      <c r="H87">
        <v>0</v>
      </c>
      <c r="I87" t="s">
        <v>22</v>
      </c>
      <c r="J87">
        <v>0</v>
      </c>
      <c r="K87" t="s">
        <v>22</v>
      </c>
      <c r="L87">
        <v>0</v>
      </c>
      <c r="M87" s="1">
        <v>550</v>
      </c>
      <c r="N87" s="1">
        <v>550</v>
      </c>
      <c r="O87" t="s">
        <v>107</v>
      </c>
      <c r="P87" t="s">
        <v>23</v>
      </c>
    </row>
    <row r="88" spans="1:16" x14ac:dyDescent="0.25">
      <c r="A88" t="s">
        <v>237</v>
      </c>
      <c r="B88" t="s">
        <v>233</v>
      </c>
      <c r="C88" t="s">
        <v>234</v>
      </c>
      <c r="D88" t="s">
        <v>235</v>
      </c>
      <c r="E88" t="s">
        <v>236</v>
      </c>
      <c r="F88" s="1">
        <v>150</v>
      </c>
      <c r="G88" t="s">
        <v>23</v>
      </c>
      <c r="H88">
        <v>0</v>
      </c>
      <c r="I88" t="s">
        <v>22</v>
      </c>
      <c r="J88">
        <v>0</v>
      </c>
      <c r="K88" t="s">
        <v>22</v>
      </c>
      <c r="L88">
        <v>0</v>
      </c>
      <c r="M88" s="1">
        <v>600</v>
      </c>
      <c r="N88" s="1">
        <v>600</v>
      </c>
      <c r="O88" t="s">
        <v>107</v>
      </c>
      <c r="P88" t="s">
        <v>23</v>
      </c>
    </row>
    <row r="89" spans="1:16" x14ac:dyDescent="0.25">
      <c r="A89" t="s">
        <v>238</v>
      </c>
      <c r="B89" t="s">
        <v>233</v>
      </c>
      <c r="C89" t="s">
        <v>234</v>
      </c>
      <c r="D89" t="s">
        <v>235</v>
      </c>
      <c r="E89" t="s">
        <v>236</v>
      </c>
      <c r="F89" s="1">
        <v>150</v>
      </c>
      <c r="G89" t="s">
        <v>23</v>
      </c>
      <c r="H89">
        <v>0</v>
      </c>
      <c r="I89" t="s">
        <v>22</v>
      </c>
      <c r="J89">
        <v>0</v>
      </c>
      <c r="K89" t="s">
        <v>22</v>
      </c>
      <c r="L89">
        <v>0</v>
      </c>
      <c r="M89" s="1">
        <v>600</v>
      </c>
      <c r="N89" s="1">
        <v>600</v>
      </c>
      <c r="O89" t="s">
        <v>107</v>
      </c>
      <c r="P89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"/>
  <sheetViews>
    <sheetView workbookViewId="0" zoomScale="100" zoomScaleNormal="100">
      <selection activeCell="I24" sqref="I24"/>
    </sheetView>
  </sheetViews>
  <sheetFormatPr defaultRowHeight="14.4" outlineLevelRow="0" outlineLevelCol="0" x14ac:dyDescent="0.3" customHeight="1"/>
  <cols>
    <col min="1" max="1" width="4" style="4" customWidth="1"/>
    <col min="2" max="2" width="25.44140625" customWidth="1"/>
    <col min="3" max="3" width="15.5546875" customWidth="1"/>
    <col min="4" max="4" width="11.44140625" customWidth="1"/>
    <col min="5" max="5" width="9.109375" style="5" customWidth="1"/>
    <col min="6" max="6" width="11.44140625" customWidth="1"/>
    <col min="7" max="7" width="28.5546875" customWidth="1"/>
    <col min="13" max="13" width="16.77734375" customWidth="1"/>
    <col min="15" max="15" width="18" customWidth="1"/>
    <col min="16" max="16" width="41.109375" customWidth="1"/>
    <col min="17" max="17" width="19.33203125" customWidth="1"/>
  </cols>
  <sheetData>
    <row r="1" ht="14.4" customHeight="1" spans="1:16" x14ac:dyDescent="0.25">
      <c r="A1" s="2" t="s">
        <v>239</v>
      </c>
      <c r="B1" s="2" t="s">
        <v>1</v>
      </c>
      <c r="C1" s="2" t="s">
        <v>2</v>
      </c>
      <c r="D1" s="2" t="s">
        <v>12</v>
      </c>
      <c r="E1" s="6" t="s">
        <v>240</v>
      </c>
      <c r="F1" s="2" t="s">
        <v>241</v>
      </c>
      <c r="G1" s="2" t="s">
        <v>14</v>
      </c>
      <c r="J1" s="2" t="s">
        <v>242</v>
      </c>
      <c r="K1" s="2" t="s">
        <v>1</v>
      </c>
      <c r="L1" s="2" t="s">
        <v>2</v>
      </c>
      <c r="M1" s="2" t="s">
        <v>12</v>
      </c>
      <c r="N1" s="2" t="s">
        <v>243</v>
      </c>
      <c r="O1" s="2" t="s">
        <v>241</v>
      </c>
      <c r="P1" s="2" t="s">
        <v>14</v>
      </c>
    </row>
    <row r="2" ht="14.4" customHeight="1" spans="1:16" x14ac:dyDescent="0.25">
      <c r="A2" s="4">
        <v>1</v>
      </c>
      <c r="B2" t="s">
        <v>244</v>
      </c>
      <c r="C2" t="s">
        <v>26</v>
      </c>
      <c r="D2" s="1">
        <v>1450</v>
      </c>
      <c r="E2" s="7">
        <v>5</v>
      </c>
      <c r="F2" s="1">
        <f>D2*E2</f>
        <v>7250</v>
      </c>
      <c r="G2" t="s">
        <v>107</v>
      </c>
      <c r="J2" s="4">
        <v>1</v>
      </c>
      <c r="K2" t="s">
        <v>245</v>
      </c>
      <c r="L2" t="s">
        <v>246</v>
      </c>
      <c r="M2" s="1">
        <v>500</v>
      </c>
      <c r="N2" s="8">
        <v>6</v>
      </c>
      <c r="O2" s="9">
        <f t="shared" ref="O2:O17" si="0">N2*M2</f>
        <v>3000</v>
      </c>
      <c r="P2" t="s">
        <v>107</v>
      </c>
    </row>
    <row r="3" ht="14.4" customHeight="1" spans="1:16" x14ac:dyDescent="0.25">
      <c r="A3" s="4">
        <v>2</v>
      </c>
      <c r="B3" t="s">
        <v>247</v>
      </c>
      <c r="C3" t="s">
        <v>26</v>
      </c>
      <c r="D3" s="1">
        <v>4500</v>
      </c>
      <c r="E3" s="7">
        <v>5</v>
      </c>
      <c r="F3" s="1">
        <f>D3*E3</f>
        <v>22500</v>
      </c>
      <c r="G3" t="s">
        <v>107</v>
      </c>
      <c r="J3" s="4">
        <v>2</v>
      </c>
      <c r="K3" t="s">
        <v>248</v>
      </c>
      <c r="L3" t="s">
        <v>246</v>
      </c>
      <c r="M3" s="1">
        <v>500</v>
      </c>
      <c r="N3" s="8">
        <v>6</v>
      </c>
      <c r="O3" s="9">
        <f t="shared" si="0"/>
        <v>3000</v>
      </c>
      <c r="P3" t="s">
        <v>107</v>
      </c>
    </row>
    <row r="4" ht="14.4" customHeight="1" spans="1:16" x14ac:dyDescent="0.25">
      <c r="A4" s="4">
        <v>3</v>
      </c>
      <c r="B4" t="s">
        <v>249</v>
      </c>
      <c r="C4" t="s">
        <v>26</v>
      </c>
      <c r="D4" s="1">
        <v>1500</v>
      </c>
      <c r="E4" s="7">
        <v>5</v>
      </c>
      <c r="F4" s="1">
        <f>D4*E4</f>
        <v>7500</v>
      </c>
      <c r="G4" t="s">
        <v>107</v>
      </c>
      <c r="J4" s="4">
        <v>3</v>
      </c>
      <c r="K4" t="s">
        <v>250</v>
      </c>
      <c r="L4" t="s">
        <v>246</v>
      </c>
      <c r="M4" s="1">
        <v>1800</v>
      </c>
      <c r="N4" s="8">
        <v>1</v>
      </c>
      <c r="O4" s="9">
        <f t="shared" si="0"/>
        <v>1800</v>
      </c>
      <c r="P4" t="s">
        <v>107</v>
      </c>
    </row>
    <row r="5" ht="14.4" customHeight="1" spans="1:16" x14ac:dyDescent="0.25">
      <c r="A5" s="4">
        <v>4</v>
      </c>
      <c r="B5" t="s">
        <v>251</v>
      </c>
      <c r="C5" t="s">
        <v>26</v>
      </c>
      <c r="D5" s="1">
        <v>700</v>
      </c>
      <c r="E5" s="7">
        <v>5</v>
      </c>
      <c r="F5" s="1">
        <f>D5*E5</f>
        <v>3500</v>
      </c>
      <c r="G5" t="s">
        <v>107</v>
      </c>
      <c r="J5" s="4">
        <v>4</v>
      </c>
      <c r="K5" t="s">
        <v>252</v>
      </c>
      <c r="L5" t="s">
        <v>246</v>
      </c>
      <c r="M5" s="1">
        <v>500</v>
      </c>
      <c r="N5" s="8">
        <v>2</v>
      </c>
      <c r="O5" s="9">
        <f t="shared" si="0"/>
        <v>1000</v>
      </c>
      <c r="P5" t="s">
        <v>107</v>
      </c>
    </row>
    <row r="6" ht="14.4" customHeight="1" spans="1:16" x14ac:dyDescent="0.25">
      <c r="A6" s="4">
        <v>5</v>
      </c>
      <c r="B6" t="s">
        <v>253</v>
      </c>
      <c r="C6" t="s">
        <v>26</v>
      </c>
      <c r="D6" s="1">
        <v>3500</v>
      </c>
      <c r="E6" s="7">
        <v>5</v>
      </c>
      <c r="F6" s="1">
        <f>D6*E6</f>
        <v>17500</v>
      </c>
      <c r="G6" t="s">
        <v>107</v>
      </c>
      <c r="J6" s="4">
        <v>5</v>
      </c>
      <c r="K6" t="s">
        <v>254</v>
      </c>
      <c r="L6" t="s">
        <v>246</v>
      </c>
      <c r="M6" s="1">
        <v>500</v>
      </c>
      <c r="N6" s="8">
        <v>1</v>
      </c>
      <c r="O6" s="9">
        <f t="shared" si="0"/>
        <v>500</v>
      </c>
      <c r="P6" t="s">
        <v>107</v>
      </c>
    </row>
    <row r="7" ht="14.4" customHeight="1" spans="10:16" x14ac:dyDescent="0.25">
      <c r="J7" s="4">
        <v>6</v>
      </c>
      <c r="K7" t="s">
        <v>255</v>
      </c>
      <c r="L7" t="s">
        <v>246</v>
      </c>
      <c r="M7" s="1">
        <v>1800</v>
      </c>
      <c r="N7" s="8">
        <v>1</v>
      </c>
      <c r="O7" s="9">
        <f t="shared" si="0"/>
        <v>1800</v>
      </c>
      <c r="P7" t="s">
        <v>107</v>
      </c>
    </row>
    <row r="8" ht="14.4" customHeight="1" spans="10:16" x14ac:dyDescent="0.25">
      <c r="J8" s="4">
        <v>7</v>
      </c>
      <c r="K8" t="s">
        <v>256</v>
      </c>
      <c r="L8" t="s">
        <v>246</v>
      </c>
      <c r="M8" s="1">
        <v>1000</v>
      </c>
      <c r="N8" s="8">
        <v>1</v>
      </c>
      <c r="O8" s="9">
        <f t="shared" si="0"/>
        <v>1000</v>
      </c>
      <c r="P8" t="s">
        <v>107</v>
      </c>
    </row>
    <row r="9" ht="14.4" customHeight="1" spans="10:16" x14ac:dyDescent="0.25">
      <c r="J9" s="4">
        <v>8</v>
      </c>
      <c r="K9" t="s">
        <v>257</v>
      </c>
      <c r="L9" t="s">
        <v>246</v>
      </c>
      <c r="M9" s="1">
        <v>500</v>
      </c>
      <c r="N9" s="8">
        <v>1</v>
      </c>
      <c r="O9" s="9">
        <f t="shared" si="0"/>
        <v>500</v>
      </c>
      <c r="P9" t="s">
        <v>107</v>
      </c>
    </row>
    <row r="10" ht="14.4" customHeight="1" spans="1:16" x14ac:dyDescent="0.25">
      <c r="A10" s="2" t="s">
        <v>239</v>
      </c>
      <c r="B10" s="2" t="s">
        <v>1</v>
      </c>
      <c r="C10" s="2" t="s">
        <v>2</v>
      </c>
      <c r="D10" s="2" t="s">
        <v>12</v>
      </c>
      <c r="E10" s="6" t="s">
        <v>258</v>
      </c>
      <c r="F10" s="2" t="s">
        <v>241</v>
      </c>
      <c r="G10" s="2" t="s">
        <v>14</v>
      </c>
      <c r="J10" s="4">
        <v>9</v>
      </c>
      <c r="K10" t="s">
        <v>25</v>
      </c>
      <c r="L10" t="s">
        <v>246</v>
      </c>
      <c r="M10" s="1">
        <v>13000</v>
      </c>
      <c r="N10" s="8">
        <v>1</v>
      </c>
      <c r="O10" s="9">
        <f t="shared" si="0"/>
        <v>13000</v>
      </c>
      <c r="P10" t="s">
        <v>107</v>
      </c>
    </row>
    <row r="11" ht="14.4" customHeight="1" spans="1:16" x14ac:dyDescent="0.25">
      <c r="A11" s="4">
        <v>1</v>
      </c>
      <c r="B11" t="s">
        <v>244</v>
      </c>
      <c r="C11" t="s">
        <v>26</v>
      </c>
      <c r="D11" s="1">
        <v>1200</v>
      </c>
      <c r="E11" s="7">
        <v>10</v>
      </c>
      <c r="F11" s="1">
        <f>D11*E11</f>
        <v>12000</v>
      </c>
      <c r="G11" t="s">
        <v>107</v>
      </c>
      <c r="J11" s="4">
        <v>10</v>
      </c>
      <c r="K11" t="s">
        <v>259</v>
      </c>
      <c r="L11" t="s">
        <v>260</v>
      </c>
      <c r="M11" s="1">
        <v>4000</v>
      </c>
      <c r="N11" s="8">
        <v>1</v>
      </c>
      <c r="O11" s="9">
        <f t="shared" si="0"/>
        <v>4000</v>
      </c>
      <c r="P11" t="s">
        <v>107</v>
      </c>
    </row>
    <row r="12" ht="14.4" customHeight="1" spans="1:16" x14ac:dyDescent="0.25">
      <c r="A12" s="4">
        <v>2</v>
      </c>
      <c r="B12" t="s">
        <v>247</v>
      </c>
      <c r="C12" t="s">
        <v>26</v>
      </c>
      <c r="D12" s="1">
        <v>3700</v>
      </c>
      <c r="E12" s="7">
        <v>10</v>
      </c>
      <c r="F12" s="1">
        <f>D12*E12</f>
        <v>37000</v>
      </c>
      <c r="G12" t="s">
        <v>107</v>
      </c>
      <c r="J12" s="4">
        <v>11</v>
      </c>
      <c r="K12" t="s">
        <v>261</v>
      </c>
      <c r="L12" t="s">
        <v>260</v>
      </c>
      <c r="M12" s="1">
        <v>1800</v>
      </c>
      <c r="N12" s="8">
        <v>1</v>
      </c>
      <c r="O12" s="9">
        <f t="shared" si="0"/>
        <v>1800</v>
      </c>
      <c r="P12" t="s">
        <v>107</v>
      </c>
    </row>
    <row r="13" ht="14.4" customHeight="1" spans="1:16" x14ac:dyDescent="0.25">
      <c r="A13" s="4">
        <v>3</v>
      </c>
      <c r="B13" t="s">
        <v>249</v>
      </c>
      <c r="C13" t="s">
        <v>26</v>
      </c>
      <c r="D13" s="1">
        <v>1200</v>
      </c>
      <c r="E13" s="7">
        <v>10</v>
      </c>
      <c r="F13" s="1">
        <f>D13*E13</f>
        <v>12000</v>
      </c>
      <c r="G13" t="s">
        <v>107</v>
      </c>
      <c r="J13" s="4">
        <v>12</v>
      </c>
      <c r="K13" t="s">
        <v>262</v>
      </c>
      <c r="L13" t="s">
        <v>246</v>
      </c>
      <c r="M13" s="1">
        <v>800</v>
      </c>
      <c r="N13" s="8">
        <v>6</v>
      </c>
      <c r="O13" s="9">
        <f t="shared" si="0"/>
        <v>4800</v>
      </c>
      <c r="P13" t="s">
        <v>107</v>
      </c>
    </row>
    <row r="14" ht="14.4" customHeight="1" spans="1:16" x14ac:dyDescent="0.25">
      <c r="A14" s="4">
        <v>4</v>
      </c>
      <c r="B14" t="s">
        <v>251</v>
      </c>
      <c r="C14" t="s">
        <v>26</v>
      </c>
      <c r="D14" s="1">
        <v>500</v>
      </c>
      <c r="E14" s="7">
        <v>10</v>
      </c>
      <c r="F14" s="1">
        <f>D14*E14</f>
        <v>5000</v>
      </c>
      <c r="G14" t="s">
        <v>107</v>
      </c>
      <c r="J14" s="4">
        <v>13</v>
      </c>
      <c r="K14" t="s">
        <v>263</v>
      </c>
      <c r="L14" t="s">
        <v>246</v>
      </c>
      <c r="M14" s="1">
        <v>2600</v>
      </c>
      <c r="N14" s="8">
        <v>1</v>
      </c>
      <c r="O14" s="9">
        <f t="shared" si="0"/>
        <v>2600</v>
      </c>
      <c r="P14" t="s">
        <v>107</v>
      </c>
    </row>
    <row r="15" ht="14.4" customHeight="1" spans="1:16" x14ac:dyDescent="0.25">
      <c r="A15" s="4">
        <v>5</v>
      </c>
      <c r="B15" t="s">
        <v>253</v>
      </c>
      <c r="C15" t="s">
        <v>26</v>
      </c>
      <c r="D15" s="1">
        <v>3000</v>
      </c>
      <c r="E15" s="7">
        <v>10</v>
      </c>
      <c r="F15" s="1">
        <f>D15*E15</f>
        <v>30000</v>
      </c>
      <c r="G15" t="s">
        <v>107</v>
      </c>
      <c r="J15" s="4">
        <v>14</v>
      </c>
      <c r="K15" t="s">
        <v>264</v>
      </c>
      <c r="L15" t="s">
        <v>26</v>
      </c>
      <c r="M15" s="1">
        <v>800</v>
      </c>
      <c r="N15" s="8">
        <v>1</v>
      </c>
      <c r="O15" s="9">
        <f t="shared" si="0"/>
        <v>800</v>
      </c>
      <c r="P15" t="s">
        <v>107</v>
      </c>
    </row>
    <row r="16" ht="14.4" customHeight="1" spans="10:16" x14ac:dyDescent="0.25">
      <c r="J16" s="4">
        <v>15</v>
      </c>
      <c r="K16" t="s">
        <v>265</v>
      </c>
      <c r="L16" t="s">
        <v>138</v>
      </c>
      <c r="M16" s="1">
        <v>1500</v>
      </c>
      <c r="N16" s="8">
        <v>1</v>
      </c>
      <c r="O16" s="9">
        <f t="shared" si="0"/>
        <v>1500</v>
      </c>
      <c r="P16" t="s">
        <v>107</v>
      </c>
    </row>
    <row r="17" ht="14.4" customHeight="1" spans="2:16" x14ac:dyDescent="0.25">
      <c r="B17" t="s">
        <v>266</v>
      </c>
      <c r="J17" s="4">
        <v>16</v>
      </c>
      <c r="K17" t="s">
        <v>267</v>
      </c>
      <c r="L17" t="s">
        <v>246</v>
      </c>
      <c r="M17" s="1">
        <v>13000</v>
      </c>
      <c r="N17" s="8">
        <v>1</v>
      </c>
      <c r="O17" s="9">
        <f t="shared" si="0"/>
        <v>13000</v>
      </c>
      <c r="P17" t="s">
        <v>107</v>
      </c>
    </row>
    <row r="18" ht="14.4" customHeight="1" spans="1:15" x14ac:dyDescent="0.25">
      <c r="A18" s="2" t="s">
        <v>239</v>
      </c>
      <c r="B18" s="2" t="s">
        <v>1</v>
      </c>
      <c r="C18" s="2" t="s">
        <v>2</v>
      </c>
      <c r="D18" s="2" t="s">
        <v>12</v>
      </c>
      <c r="E18" s="6" t="s">
        <v>243</v>
      </c>
      <c r="F18" s="2" t="s">
        <v>241</v>
      </c>
      <c r="G18" s="2" t="s">
        <v>14</v>
      </c>
      <c r="J18" s="4"/>
      <c r="N18" s="4"/>
      <c r="O18" s="10">
        <f>SUM(O2:O17)</f>
        <v>54100</v>
      </c>
    </row>
    <row r="19" ht="14.4" customHeight="1" spans="1:11" x14ac:dyDescent="0.25">
      <c r="A19" s="11">
        <v>1</v>
      </c>
      <c r="B19" t="s">
        <v>82</v>
      </c>
      <c r="C19" t="s">
        <v>43</v>
      </c>
      <c r="D19" s="1">
        <v>650</v>
      </c>
      <c r="E19" s="5">
        <v>2</v>
      </c>
      <c r="F19" s="1">
        <f>E19*D19</f>
        <v>1300</v>
      </c>
      <c r="G19" t="s">
        <v>85</v>
      </c>
      <c r="J19" s="4"/>
      <c r="K19" t="s">
        <v>268</v>
      </c>
    </row>
    <row r="20" ht="14.4" customHeight="1" spans="1:18" x14ac:dyDescent="0.25">
      <c r="A20" s="11">
        <v>2</v>
      </c>
      <c r="B20" t="s">
        <v>87</v>
      </c>
      <c r="C20" t="s">
        <v>26</v>
      </c>
      <c r="D20" s="1">
        <v>1000</v>
      </c>
      <c r="E20" s="5">
        <v>2</v>
      </c>
      <c r="F20" s="1">
        <f t="shared" ref="F20:F23" si="1">E20*D20</f>
        <v>2000</v>
      </c>
      <c r="G20" t="s">
        <v>269</v>
      </c>
      <c r="J20" s="2" t="s">
        <v>270</v>
      </c>
      <c r="K20" s="2" t="s">
        <v>1</v>
      </c>
      <c r="L20" s="2" t="s">
        <v>2</v>
      </c>
      <c r="M20" s="2" t="s">
        <v>3</v>
      </c>
      <c r="N20" s="2" t="s">
        <v>4</v>
      </c>
      <c r="O20" s="3" t="s">
        <v>12</v>
      </c>
      <c r="P20" s="6" t="s">
        <v>243</v>
      </c>
      <c r="Q20" s="3" t="s">
        <v>241</v>
      </c>
      <c r="R20" s="2" t="s">
        <v>14</v>
      </c>
    </row>
    <row r="21" ht="14.4" customHeight="1" spans="1:18" x14ac:dyDescent="0.25">
      <c r="A21" s="11">
        <v>3</v>
      </c>
      <c r="B21" t="s">
        <v>92</v>
      </c>
      <c r="C21" t="s">
        <v>26</v>
      </c>
      <c r="D21" s="1">
        <v>600</v>
      </c>
      <c r="E21" s="5">
        <v>2</v>
      </c>
      <c r="F21" s="1">
        <f t="shared" si="1"/>
        <v>1200</v>
      </c>
      <c r="G21" t="s">
        <v>85</v>
      </c>
      <c r="J21" s="4">
        <v>1</v>
      </c>
      <c r="K21" t="s">
        <v>271</v>
      </c>
      <c r="L21" t="s">
        <v>26</v>
      </c>
      <c r="M21" t="s">
        <v>272</v>
      </c>
      <c r="N21" t="s">
        <v>273</v>
      </c>
      <c r="O21" s="1">
        <v>1200</v>
      </c>
      <c r="P21" s="7">
        <v>1</v>
      </c>
      <c r="Q21" s="1">
        <f>P21*O21</f>
        <v>1200</v>
      </c>
      <c r="R21" t="s">
        <v>107</v>
      </c>
    </row>
    <row r="22" ht="14.4" customHeight="1" spans="1:18" x14ac:dyDescent="0.25">
      <c r="A22" s="11">
        <v>4</v>
      </c>
      <c r="B22" t="s">
        <v>96</v>
      </c>
      <c r="C22" t="s">
        <v>43</v>
      </c>
      <c r="D22" s="1">
        <v>2000</v>
      </c>
      <c r="E22" s="5">
        <v>4</v>
      </c>
      <c r="F22" s="1">
        <f t="shared" si="1"/>
        <v>8000</v>
      </c>
      <c r="G22" t="s">
        <v>85</v>
      </c>
      <c r="J22" s="4">
        <v>2</v>
      </c>
      <c r="K22" t="s">
        <v>274</v>
      </c>
      <c r="L22" t="s">
        <v>26</v>
      </c>
      <c r="M22" t="s">
        <v>275</v>
      </c>
      <c r="N22" t="s">
        <v>276</v>
      </c>
      <c r="O22" s="1">
        <v>4872.88</v>
      </c>
      <c r="P22" s="7">
        <v>2</v>
      </c>
      <c r="Q22" s="1">
        <f t="shared" ref="Q22:Q38" si="2">P22*O22</f>
        <v>9745.76</v>
      </c>
      <c r="R22" t="s">
        <v>107</v>
      </c>
    </row>
    <row r="23" ht="14.4" customHeight="1" spans="1:18" x14ac:dyDescent="0.25">
      <c r="A23" s="11">
        <v>5</v>
      </c>
      <c r="B23" t="s">
        <v>100</v>
      </c>
      <c r="C23" t="s">
        <v>43</v>
      </c>
      <c r="D23" s="1">
        <v>600</v>
      </c>
      <c r="E23" s="5">
        <v>2</v>
      </c>
      <c r="F23" s="1">
        <f t="shared" si="1"/>
        <v>1200</v>
      </c>
      <c r="G23" t="s">
        <v>85</v>
      </c>
      <c r="J23" s="4">
        <v>3</v>
      </c>
      <c r="K23" t="s">
        <v>277</v>
      </c>
      <c r="L23" t="s">
        <v>26</v>
      </c>
      <c r="M23" t="s">
        <v>278</v>
      </c>
      <c r="N23" t="s">
        <v>279</v>
      </c>
      <c r="O23" s="1">
        <v>1300</v>
      </c>
      <c r="P23" s="7">
        <v>2</v>
      </c>
      <c r="Q23" s="1">
        <f t="shared" si="2"/>
        <v>2600</v>
      </c>
      <c r="R23" t="s">
        <v>107</v>
      </c>
    </row>
    <row r="24" ht="14.4" customHeight="1" spans="6:18" x14ac:dyDescent="0.25">
      <c r="F24" s="12">
        <f>SUM(F19:F23)</f>
        <v>13700</v>
      </c>
      <c r="J24" s="4">
        <v>4</v>
      </c>
      <c r="K24" t="s">
        <v>280</v>
      </c>
      <c r="L24" t="s">
        <v>26</v>
      </c>
      <c r="M24" t="s">
        <v>281</v>
      </c>
      <c r="N24" t="s">
        <v>282</v>
      </c>
      <c r="O24" s="1">
        <v>1300</v>
      </c>
      <c r="P24" s="7">
        <v>2</v>
      </c>
      <c r="Q24" s="1">
        <f t="shared" si="2"/>
        <v>2600</v>
      </c>
      <c r="R24" t="s">
        <v>107</v>
      </c>
    </row>
    <row r="25" ht="14.4" customHeight="1" spans="10:18" x14ac:dyDescent="0.25">
      <c r="J25" s="4">
        <v>5</v>
      </c>
      <c r="K25" t="s">
        <v>283</v>
      </c>
      <c r="L25" t="s">
        <v>26</v>
      </c>
      <c r="M25" t="s">
        <v>284</v>
      </c>
      <c r="N25" t="s">
        <v>285</v>
      </c>
      <c r="O25" s="1">
        <v>36000</v>
      </c>
      <c r="P25" s="7">
        <v>1</v>
      </c>
      <c r="Q25" s="1">
        <f t="shared" si="2"/>
        <v>36000</v>
      </c>
      <c r="R25" t="s">
        <v>107</v>
      </c>
    </row>
    <row r="26" ht="14.4" customHeight="1" spans="2:18" x14ac:dyDescent="0.25">
      <c r="B26" t="s">
        <v>104</v>
      </c>
      <c r="C26" t="s">
        <v>26</v>
      </c>
      <c r="D26" s="1">
        <v>450</v>
      </c>
      <c r="F26" s="1">
        <v>450</v>
      </c>
      <c r="G26" t="s">
        <v>107</v>
      </c>
      <c r="J26" s="4">
        <v>6</v>
      </c>
      <c r="K26" t="s">
        <v>286</v>
      </c>
      <c r="L26" t="s">
        <v>26</v>
      </c>
      <c r="M26" t="s">
        <v>287</v>
      </c>
      <c r="N26" t="s">
        <v>288</v>
      </c>
      <c r="O26" s="1">
        <v>450</v>
      </c>
      <c r="P26" s="7">
        <v>8</v>
      </c>
      <c r="Q26" s="1">
        <f t="shared" si="2"/>
        <v>3600</v>
      </c>
      <c r="R26" t="s">
        <v>107</v>
      </c>
    </row>
    <row r="27" ht="14.4" customHeight="1" spans="2:18" x14ac:dyDescent="0.25">
      <c r="B27" t="s">
        <v>109</v>
      </c>
      <c r="C27" t="s">
        <v>26</v>
      </c>
      <c r="D27" s="1">
        <v>450</v>
      </c>
      <c r="F27" s="1">
        <v>450</v>
      </c>
      <c r="G27" t="s">
        <v>107</v>
      </c>
      <c r="J27" s="4">
        <v>7</v>
      </c>
      <c r="K27" t="s">
        <v>289</v>
      </c>
      <c r="L27" t="s">
        <v>246</v>
      </c>
      <c r="M27" t="s">
        <v>290</v>
      </c>
      <c r="N27" t="s">
        <v>291</v>
      </c>
      <c r="O27" s="1">
        <v>1200</v>
      </c>
      <c r="P27" s="7">
        <v>2</v>
      </c>
      <c r="Q27" s="1">
        <f t="shared" si="2"/>
        <v>2400</v>
      </c>
      <c r="R27" t="s">
        <v>107</v>
      </c>
    </row>
    <row r="28" ht="14.4" customHeight="1" spans="2:18" x14ac:dyDescent="0.25">
      <c r="B28" t="s">
        <v>111</v>
      </c>
      <c r="C28" t="s">
        <v>26</v>
      </c>
      <c r="D28" s="1">
        <v>700</v>
      </c>
      <c r="F28" s="1">
        <v>700</v>
      </c>
      <c r="G28" t="s">
        <v>107</v>
      </c>
      <c r="J28" s="4">
        <v>8</v>
      </c>
      <c r="K28" t="s">
        <v>292</v>
      </c>
      <c r="L28" t="s">
        <v>26</v>
      </c>
      <c r="M28" t="s">
        <v>293</v>
      </c>
      <c r="N28" t="s">
        <v>294</v>
      </c>
      <c r="O28" s="1">
        <v>450</v>
      </c>
      <c r="P28" s="7">
        <v>2</v>
      </c>
      <c r="Q28" s="1">
        <f t="shared" si="2"/>
        <v>900</v>
      </c>
      <c r="R28" t="s">
        <v>107</v>
      </c>
    </row>
    <row r="29" ht="14.4" customHeight="1" spans="2:18" x14ac:dyDescent="0.25">
      <c r="B29" t="s">
        <v>115</v>
      </c>
      <c r="C29" t="s">
        <v>26</v>
      </c>
      <c r="D29" s="1">
        <v>700</v>
      </c>
      <c r="F29" s="1">
        <v>700</v>
      </c>
      <c r="G29" t="s">
        <v>107</v>
      </c>
      <c r="J29" s="4">
        <v>9</v>
      </c>
      <c r="K29" t="s">
        <v>295</v>
      </c>
      <c r="L29" t="s">
        <v>26</v>
      </c>
      <c r="M29" t="s">
        <v>296</v>
      </c>
      <c r="N29" t="s">
        <v>297</v>
      </c>
      <c r="O29" s="1">
        <v>1800</v>
      </c>
      <c r="P29" s="7">
        <v>4</v>
      </c>
      <c r="Q29" s="1">
        <f t="shared" si="2"/>
        <v>7200</v>
      </c>
      <c r="R29" t="s">
        <v>107</v>
      </c>
    </row>
    <row r="30" ht="14.4" customHeight="1" spans="2:18" x14ac:dyDescent="0.25">
      <c r="B30" t="s">
        <v>117</v>
      </c>
      <c r="C30" t="s">
        <v>26</v>
      </c>
      <c r="D30" s="1">
        <v>700</v>
      </c>
      <c r="F30" s="1">
        <v>700</v>
      </c>
      <c r="G30" t="s">
        <v>107</v>
      </c>
      <c r="J30" s="4">
        <v>10</v>
      </c>
      <c r="K30" t="s">
        <v>298</v>
      </c>
      <c r="L30" t="s">
        <v>246</v>
      </c>
      <c r="M30" t="s">
        <v>299</v>
      </c>
      <c r="N30" t="s">
        <v>300</v>
      </c>
      <c r="O30" s="1">
        <v>950</v>
      </c>
      <c r="P30" s="7">
        <v>2</v>
      </c>
      <c r="Q30" s="1">
        <f t="shared" si="2"/>
        <v>1900</v>
      </c>
      <c r="R30" t="s">
        <v>107</v>
      </c>
    </row>
    <row r="31" ht="14.4" customHeight="1" spans="2:18" x14ac:dyDescent="0.25">
      <c r="B31" t="s">
        <v>119</v>
      </c>
      <c r="C31" t="s">
        <v>26</v>
      </c>
      <c r="D31" s="1">
        <v>450</v>
      </c>
      <c r="F31" s="1">
        <v>450</v>
      </c>
      <c r="G31" t="s">
        <v>107</v>
      </c>
      <c r="J31" s="4">
        <v>11</v>
      </c>
      <c r="K31" t="s">
        <v>301</v>
      </c>
      <c r="L31" t="s">
        <v>246</v>
      </c>
      <c r="M31" t="s">
        <v>35</v>
      </c>
      <c r="N31" t="s">
        <v>302</v>
      </c>
      <c r="O31" s="1">
        <v>800</v>
      </c>
      <c r="P31" s="7">
        <v>2</v>
      </c>
      <c r="Q31" s="1">
        <f t="shared" si="2"/>
        <v>1600</v>
      </c>
      <c r="R31" t="s">
        <v>107</v>
      </c>
    </row>
    <row r="32" ht="14.4" customHeight="1" spans="2:18" x14ac:dyDescent="0.25">
      <c r="B32" t="s">
        <v>122</v>
      </c>
      <c r="C32" t="s">
        <v>26</v>
      </c>
      <c r="D32" s="1">
        <v>450</v>
      </c>
      <c r="F32" s="1">
        <v>450</v>
      </c>
      <c r="G32" t="s">
        <v>107</v>
      </c>
      <c r="J32" s="4">
        <v>12</v>
      </c>
      <c r="K32" t="s">
        <v>303</v>
      </c>
      <c r="L32" t="s">
        <v>246</v>
      </c>
      <c r="M32" t="s">
        <v>112</v>
      </c>
      <c r="N32" t="s">
        <v>304</v>
      </c>
      <c r="O32" s="1">
        <v>450</v>
      </c>
      <c r="P32" s="7">
        <v>2</v>
      </c>
      <c r="Q32" s="1">
        <f t="shared" si="2"/>
        <v>900</v>
      </c>
      <c r="R32" t="s">
        <v>107</v>
      </c>
    </row>
    <row r="33" ht="14.4" customHeight="1" spans="2:18" x14ac:dyDescent="0.25">
      <c r="B33" t="s">
        <v>126</v>
      </c>
      <c r="C33" t="s">
        <v>26</v>
      </c>
      <c r="D33" s="1">
        <v>1300</v>
      </c>
      <c r="F33" s="1">
        <v>1300</v>
      </c>
      <c r="G33" t="s">
        <v>107</v>
      </c>
      <c r="J33" s="4">
        <v>13</v>
      </c>
      <c r="K33" t="s">
        <v>305</v>
      </c>
      <c r="L33" t="s">
        <v>246</v>
      </c>
      <c r="M33" t="s">
        <v>306</v>
      </c>
      <c r="N33" t="s">
        <v>307</v>
      </c>
      <c r="O33" s="1">
        <v>16500</v>
      </c>
      <c r="P33" s="7">
        <v>1</v>
      </c>
      <c r="Q33" s="1">
        <f t="shared" si="2"/>
        <v>16500</v>
      </c>
      <c r="R33" t="s">
        <v>107</v>
      </c>
    </row>
    <row r="34" ht="14.4" customHeight="1" spans="2:18" x14ac:dyDescent="0.25">
      <c r="B34" t="s">
        <v>130</v>
      </c>
      <c r="C34" t="s">
        <v>26</v>
      </c>
      <c r="D34" s="1">
        <v>1300</v>
      </c>
      <c r="F34" s="1">
        <v>1300</v>
      </c>
      <c r="G34" t="s">
        <v>107</v>
      </c>
      <c r="J34" s="4">
        <v>14</v>
      </c>
      <c r="K34" t="s">
        <v>305</v>
      </c>
      <c r="L34" t="s">
        <v>246</v>
      </c>
      <c r="M34" t="s">
        <v>306</v>
      </c>
      <c r="N34" t="s">
        <v>307</v>
      </c>
      <c r="O34" s="1">
        <v>16500</v>
      </c>
      <c r="P34" s="7">
        <v>1</v>
      </c>
      <c r="Q34" s="1">
        <f t="shared" si="2"/>
        <v>16500</v>
      </c>
      <c r="R34" t="s">
        <v>107</v>
      </c>
    </row>
    <row r="35" ht="14.4" customHeight="1" spans="2:18" x14ac:dyDescent="0.25">
      <c r="B35" t="s">
        <v>132</v>
      </c>
      <c r="C35" t="s">
        <v>26</v>
      </c>
      <c r="D35" s="1">
        <v>2800</v>
      </c>
      <c r="F35" s="1">
        <v>2800</v>
      </c>
      <c r="G35" t="s">
        <v>107</v>
      </c>
      <c r="J35" s="4">
        <v>15</v>
      </c>
      <c r="K35" t="s">
        <v>308</v>
      </c>
      <c r="L35" t="s">
        <v>246</v>
      </c>
      <c r="M35" t="s">
        <v>309</v>
      </c>
      <c r="N35" t="s">
        <v>310</v>
      </c>
      <c r="O35" s="1">
        <v>450</v>
      </c>
      <c r="P35" s="7">
        <v>1</v>
      </c>
      <c r="Q35" s="1">
        <f t="shared" si="2"/>
        <v>450</v>
      </c>
      <c r="R35" t="s">
        <v>107</v>
      </c>
    </row>
    <row r="36" ht="14.4" customHeight="1" spans="2:18" x14ac:dyDescent="0.25">
      <c r="B36" t="s">
        <v>136</v>
      </c>
      <c r="C36" t="s">
        <v>26</v>
      </c>
      <c r="D36" s="1">
        <v>1300</v>
      </c>
      <c r="F36" s="1">
        <v>1300</v>
      </c>
      <c r="G36" t="s">
        <v>107</v>
      </c>
      <c r="J36" s="4">
        <v>16</v>
      </c>
      <c r="K36" t="s">
        <v>311</v>
      </c>
      <c r="L36" t="s">
        <v>246</v>
      </c>
      <c r="M36" t="s">
        <v>312</v>
      </c>
      <c r="N36" t="s">
        <v>313</v>
      </c>
      <c r="O36" s="1">
        <v>450</v>
      </c>
      <c r="P36" s="7">
        <v>1</v>
      </c>
      <c r="Q36" s="1">
        <f t="shared" si="2"/>
        <v>450</v>
      </c>
      <c r="R36" t="s">
        <v>107</v>
      </c>
    </row>
    <row r="37" ht="14.4" customHeight="1" spans="2:18" x14ac:dyDescent="0.25">
      <c r="B37" t="s">
        <v>137</v>
      </c>
      <c r="C37" t="s">
        <v>138</v>
      </c>
      <c r="D37" s="1">
        <v>450</v>
      </c>
      <c r="F37" s="1">
        <v>450</v>
      </c>
      <c r="G37" t="s">
        <v>107</v>
      </c>
      <c r="J37" s="4">
        <v>17</v>
      </c>
      <c r="K37" t="s">
        <v>314</v>
      </c>
      <c r="L37" t="s">
        <v>246</v>
      </c>
      <c r="M37" t="s">
        <v>315</v>
      </c>
      <c r="N37" t="s">
        <v>316</v>
      </c>
      <c r="O37" s="1">
        <v>450</v>
      </c>
      <c r="P37" s="7">
        <v>4</v>
      </c>
      <c r="Q37" s="1">
        <f t="shared" si="2"/>
        <v>1800</v>
      </c>
      <c r="R37" t="s">
        <v>107</v>
      </c>
    </row>
    <row r="38" ht="14.4" customHeight="1" spans="2:18" x14ac:dyDescent="0.25">
      <c r="B38" t="s">
        <v>139</v>
      </c>
      <c r="C38" t="s">
        <v>140</v>
      </c>
      <c r="D38" s="1">
        <v>2000</v>
      </c>
      <c r="F38" s="1">
        <v>2000</v>
      </c>
      <c r="G38" t="s">
        <v>107</v>
      </c>
      <c r="J38" s="4">
        <v>18</v>
      </c>
      <c r="K38" t="s">
        <v>317</v>
      </c>
      <c r="L38" t="s">
        <v>246</v>
      </c>
      <c r="M38" t="s">
        <v>318</v>
      </c>
      <c r="N38" t="s">
        <v>319</v>
      </c>
      <c r="O38" s="1">
        <v>800</v>
      </c>
      <c r="P38" s="7">
        <v>2</v>
      </c>
      <c r="Q38" s="1">
        <f t="shared" si="2"/>
        <v>1600</v>
      </c>
      <c r="R38" t="s">
        <v>107</v>
      </c>
    </row>
    <row r="39" ht="14.4" customHeight="1" spans="2:17" x14ac:dyDescent="0.25">
      <c r="B39" t="s">
        <v>142</v>
      </c>
      <c r="C39" t="s">
        <v>26</v>
      </c>
      <c r="D39" s="1">
        <v>450</v>
      </c>
      <c r="F39" s="1">
        <v>450</v>
      </c>
      <c r="G39" t="s">
        <v>107</v>
      </c>
      <c r="J39" s="4"/>
      <c r="P39" s="7"/>
      <c r="Q39" s="13">
        <f>SUM(Q21:Q38)</f>
        <v>107945.76000000001</v>
      </c>
    </row>
    <row r="40" ht="14.4" customHeight="1" spans="2:17" x14ac:dyDescent="0.25">
      <c r="B40" t="s">
        <v>146</v>
      </c>
      <c r="C40" t="s">
        <v>26</v>
      </c>
      <c r="D40" s="1">
        <v>1800</v>
      </c>
      <c r="F40" s="1">
        <v>1800</v>
      </c>
      <c r="G40" t="s">
        <v>107</v>
      </c>
      <c r="J40" s="4"/>
      <c r="K40" t="s">
        <v>268</v>
      </c>
      <c r="Q40" s="12"/>
    </row>
    <row r="41" ht="14.4" customHeight="1" spans="10:18" x14ac:dyDescent="0.25">
      <c r="J41" s="2" t="s">
        <v>239</v>
      </c>
      <c r="K41" s="2" t="s">
        <v>1</v>
      </c>
      <c r="L41" s="2" t="s">
        <v>2</v>
      </c>
      <c r="M41" s="2" t="s">
        <v>3</v>
      </c>
      <c r="N41" s="2" t="s">
        <v>4</v>
      </c>
      <c r="O41" s="2" t="s">
        <v>5</v>
      </c>
      <c r="P41" s="2" t="s">
        <v>12</v>
      </c>
      <c r="Q41" s="2" t="s">
        <v>13</v>
      </c>
      <c r="R41" s="2" t="s">
        <v>14</v>
      </c>
    </row>
    <row r="42" ht="14.4" customHeight="1" spans="1:18" x14ac:dyDescent="0.25">
      <c r="A42" s="2" t="s">
        <v>239</v>
      </c>
      <c r="B42" s="2" t="s">
        <v>1</v>
      </c>
      <c r="C42" s="2" t="s">
        <v>2</v>
      </c>
      <c r="D42" s="2" t="s">
        <v>12</v>
      </c>
      <c r="E42" s="6" t="s">
        <v>243</v>
      </c>
      <c r="F42" s="2" t="s">
        <v>241</v>
      </c>
      <c r="G42" s="2" t="s">
        <v>14</v>
      </c>
      <c r="J42" s="11">
        <v>1</v>
      </c>
      <c r="K42" t="s">
        <v>25</v>
      </c>
      <c r="L42" t="s">
        <v>18</v>
      </c>
      <c r="M42" t="s">
        <v>32</v>
      </c>
      <c r="N42" t="s">
        <v>28</v>
      </c>
      <c r="O42" s="1">
        <v>3972.97</v>
      </c>
      <c r="P42" s="1">
        <v>19252.36</v>
      </c>
      <c r="Q42" s="14">
        <v>23225.33</v>
      </c>
      <c r="R42" t="s">
        <v>85</v>
      </c>
    </row>
    <row r="43" ht="14.4" customHeight="1" spans="1:18" x14ac:dyDescent="0.25">
      <c r="A43">
        <v>1</v>
      </c>
      <c r="B43" t="s">
        <v>171</v>
      </c>
      <c r="C43" t="s">
        <v>172</v>
      </c>
      <c r="D43" s="1">
        <v>750</v>
      </c>
      <c r="E43" s="7">
        <v>1</v>
      </c>
      <c r="F43" s="1">
        <f>E43*D43</f>
        <v>750</v>
      </c>
      <c r="J43" s="11">
        <v>2</v>
      </c>
      <c r="K43" t="s">
        <v>34</v>
      </c>
      <c r="L43" t="s">
        <v>26</v>
      </c>
      <c r="M43" t="s">
        <v>35</v>
      </c>
      <c r="N43" t="s">
        <v>36</v>
      </c>
      <c r="O43" s="1">
        <v>450</v>
      </c>
      <c r="P43" s="1">
        <v>500</v>
      </c>
      <c r="Q43" s="14">
        <v>950</v>
      </c>
      <c r="R43" t="s">
        <v>85</v>
      </c>
    </row>
    <row r="44" ht="14.4" customHeight="1" spans="1:18" x14ac:dyDescent="0.25">
      <c r="A44">
        <v>2</v>
      </c>
      <c r="B44" t="s">
        <v>175</v>
      </c>
      <c r="C44" t="s">
        <v>176</v>
      </c>
      <c r="D44" s="1">
        <v>600</v>
      </c>
      <c r="E44" s="7">
        <v>1</v>
      </c>
      <c r="F44" s="1">
        <f t="shared" ref="F44:F57" si="3">E44*D44</f>
        <v>600</v>
      </c>
      <c r="J44" s="11">
        <v>3</v>
      </c>
      <c r="K44" t="s">
        <v>38</v>
      </c>
      <c r="L44" t="s">
        <v>39</v>
      </c>
      <c r="M44" t="s">
        <v>40</v>
      </c>
      <c r="N44" t="s">
        <v>41</v>
      </c>
      <c r="O44" s="1">
        <v>300</v>
      </c>
      <c r="P44" s="1">
        <v>800</v>
      </c>
      <c r="Q44" s="14">
        <v>1100</v>
      </c>
      <c r="R44" t="s">
        <v>85</v>
      </c>
    </row>
    <row r="45" ht="14.4" customHeight="1" spans="1:18" x14ac:dyDescent="0.25">
      <c r="A45">
        <v>3</v>
      </c>
      <c r="B45" t="s">
        <v>179</v>
      </c>
      <c r="C45" t="s">
        <v>176</v>
      </c>
      <c r="D45" s="1">
        <v>600</v>
      </c>
      <c r="E45" s="7">
        <v>1</v>
      </c>
      <c r="F45" s="1">
        <f t="shared" si="3"/>
        <v>600</v>
      </c>
      <c r="J45" s="11">
        <v>4</v>
      </c>
      <c r="K45" t="s">
        <v>17</v>
      </c>
      <c r="L45" t="s">
        <v>66</v>
      </c>
      <c r="M45" t="s">
        <v>320</v>
      </c>
      <c r="N45" t="s">
        <v>20</v>
      </c>
      <c r="O45" s="1">
        <v>2250</v>
      </c>
      <c r="P45" s="1">
        <v>12200</v>
      </c>
      <c r="Q45" s="14">
        <v>14450</v>
      </c>
      <c r="R45" t="s">
        <v>85</v>
      </c>
    </row>
    <row r="46" ht="14.4" customHeight="1" spans="1:18" x14ac:dyDescent="0.25">
      <c r="A46">
        <v>4</v>
      </c>
      <c r="B46" t="s">
        <v>181</v>
      </c>
      <c r="C46" t="s">
        <v>176</v>
      </c>
      <c r="D46" s="1">
        <v>600</v>
      </c>
      <c r="E46" s="7">
        <v>1</v>
      </c>
      <c r="F46" s="1">
        <f t="shared" si="3"/>
        <v>600</v>
      </c>
      <c r="J46" s="11">
        <v>5</v>
      </c>
      <c r="K46" t="s">
        <v>46</v>
      </c>
      <c r="L46" t="s">
        <v>321</v>
      </c>
      <c r="M46" t="s">
        <v>48</v>
      </c>
      <c r="N46" t="s">
        <v>49</v>
      </c>
      <c r="O46" s="1">
        <v>300</v>
      </c>
      <c r="P46" s="1">
        <v>3150</v>
      </c>
      <c r="Q46" s="14">
        <v>3450</v>
      </c>
      <c r="R46" t="s">
        <v>85</v>
      </c>
    </row>
    <row r="47" ht="14.4" customHeight="1" spans="1:18" x14ac:dyDescent="0.25">
      <c r="A47">
        <v>5</v>
      </c>
      <c r="B47" t="s">
        <v>182</v>
      </c>
      <c r="C47" t="s">
        <v>176</v>
      </c>
      <c r="D47" s="1">
        <v>600</v>
      </c>
      <c r="E47" s="7">
        <v>1</v>
      </c>
      <c r="F47" s="1">
        <f t="shared" si="3"/>
        <v>600</v>
      </c>
      <c r="J47" s="11">
        <v>6</v>
      </c>
      <c r="K47" t="s">
        <v>51</v>
      </c>
      <c r="L47" t="s">
        <v>322</v>
      </c>
      <c r="M47" t="s">
        <v>323</v>
      </c>
      <c r="N47" t="s">
        <v>324</v>
      </c>
      <c r="O47" s="1">
        <v>86.26</v>
      </c>
      <c r="P47" s="1">
        <v>102.79</v>
      </c>
      <c r="Q47" s="14">
        <v>189.05</v>
      </c>
      <c r="R47" t="s">
        <v>85</v>
      </c>
    </row>
    <row r="48" ht="14.4" customHeight="1" spans="1:18" x14ac:dyDescent="0.25">
      <c r="A48">
        <v>6</v>
      </c>
      <c r="B48" t="s">
        <v>183</v>
      </c>
      <c r="C48" t="s">
        <v>26</v>
      </c>
      <c r="D48" s="1">
        <v>600</v>
      </c>
      <c r="E48" s="7">
        <v>1</v>
      </c>
      <c r="F48" s="1">
        <f t="shared" si="3"/>
        <v>600</v>
      </c>
      <c r="J48" s="11">
        <v>7</v>
      </c>
      <c r="K48" t="s">
        <v>56</v>
      </c>
      <c r="L48" t="s">
        <v>325</v>
      </c>
      <c r="M48" t="s">
        <v>326</v>
      </c>
      <c r="N48" t="s">
        <v>59</v>
      </c>
      <c r="O48" s="1">
        <v>150</v>
      </c>
      <c r="P48" s="1">
        <v>500</v>
      </c>
      <c r="Q48" s="14">
        <v>650</v>
      </c>
      <c r="R48" t="s">
        <v>85</v>
      </c>
    </row>
    <row r="49" ht="14.4" customHeight="1" spans="1:18" x14ac:dyDescent="0.25">
      <c r="A49">
        <v>7</v>
      </c>
      <c r="B49" t="s">
        <v>185</v>
      </c>
      <c r="C49" t="s">
        <v>26</v>
      </c>
      <c r="D49" s="1">
        <v>600</v>
      </c>
      <c r="E49" s="7">
        <v>1</v>
      </c>
      <c r="F49" s="1">
        <f t="shared" si="3"/>
        <v>600</v>
      </c>
      <c r="J49" s="11">
        <v>8</v>
      </c>
      <c r="K49" t="s">
        <v>61</v>
      </c>
      <c r="L49" t="s">
        <v>52</v>
      </c>
      <c r="M49" t="s">
        <v>327</v>
      </c>
      <c r="N49" t="s">
        <v>63</v>
      </c>
      <c r="O49" s="1">
        <v>150</v>
      </c>
      <c r="P49" s="1">
        <v>500</v>
      </c>
      <c r="Q49" s="14">
        <v>650</v>
      </c>
      <c r="R49" t="s">
        <v>85</v>
      </c>
    </row>
    <row r="50" ht="14.4" customHeight="1" spans="1:17" x14ac:dyDescent="0.25">
      <c r="A50">
        <v>8</v>
      </c>
      <c r="B50" t="s">
        <v>186</v>
      </c>
      <c r="C50" t="s">
        <v>26</v>
      </c>
      <c r="D50" s="1">
        <v>600</v>
      </c>
      <c r="E50" s="7">
        <v>1</v>
      </c>
      <c r="F50" s="1">
        <f t="shared" si="3"/>
        <v>600</v>
      </c>
      <c r="J50" s="11"/>
      <c r="Q50" s="15">
        <f>SUM(Q42:Q49)</f>
        <v>44664.380000000005</v>
      </c>
    </row>
    <row r="51" ht="14.4" customHeight="1" spans="1:10" x14ac:dyDescent="0.25">
      <c r="A51">
        <v>9</v>
      </c>
      <c r="B51" t="s">
        <v>187</v>
      </c>
      <c r="C51" t="s">
        <v>26</v>
      </c>
      <c r="D51" s="1">
        <v>600</v>
      </c>
      <c r="E51" s="7">
        <v>1</v>
      </c>
      <c r="F51" s="1">
        <f t="shared" si="3"/>
        <v>600</v>
      </c>
      <c r="J51" s="4"/>
    </row>
    <row r="52" ht="14.4" customHeight="1" spans="1:6" x14ac:dyDescent="0.25">
      <c r="A52">
        <v>10</v>
      </c>
      <c r="B52" t="s">
        <v>188</v>
      </c>
      <c r="C52" t="s">
        <v>26</v>
      </c>
      <c r="D52" s="1">
        <v>600</v>
      </c>
      <c r="E52" s="7">
        <v>1</v>
      </c>
      <c r="F52" s="1">
        <f t="shared" si="3"/>
        <v>600</v>
      </c>
    </row>
    <row r="53" ht="14.4" customHeight="1" spans="1:6" x14ac:dyDescent="0.25">
      <c r="A53">
        <v>11</v>
      </c>
      <c r="B53" t="s">
        <v>189</v>
      </c>
      <c r="C53" t="s">
        <v>43</v>
      </c>
      <c r="D53" s="1">
        <v>800</v>
      </c>
      <c r="E53" s="7">
        <v>1</v>
      </c>
      <c r="F53" s="1">
        <f t="shared" si="3"/>
        <v>800</v>
      </c>
    </row>
    <row r="54" ht="14.4" customHeight="1" spans="1:6" x14ac:dyDescent="0.25">
      <c r="A54">
        <v>12</v>
      </c>
      <c r="B54" t="s">
        <v>192</v>
      </c>
      <c r="D54" s="1">
        <v>100</v>
      </c>
      <c r="E54" s="7">
        <v>1</v>
      </c>
      <c r="F54" s="1">
        <f t="shared" si="3"/>
        <v>100</v>
      </c>
    </row>
    <row r="55" ht="14.4" customHeight="1" spans="1:6" x14ac:dyDescent="0.25">
      <c r="A55">
        <v>13</v>
      </c>
      <c r="B55" t="s">
        <v>193</v>
      </c>
      <c r="D55" s="1">
        <v>100</v>
      </c>
      <c r="E55" s="7">
        <v>6</v>
      </c>
      <c r="F55" s="1">
        <f t="shared" si="3"/>
        <v>600</v>
      </c>
    </row>
    <row r="56" ht="14.4" customHeight="1" spans="1:6" x14ac:dyDescent="0.25">
      <c r="A56">
        <v>14</v>
      </c>
      <c r="B56" t="s">
        <v>194</v>
      </c>
      <c r="D56" s="1">
        <v>580</v>
      </c>
      <c r="E56" s="7">
        <v>1</v>
      </c>
      <c r="F56" s="1">
        <f t="shared" si="3"/>
        <v>580</v>
      </c>
    </row>
    <row r="57" ht="14.4" customHeight="1" spans="1:6" x14ac:dyDescent="0.25">
      <c r="A57">
        <v>15</v>
      </c>
      <c r="B57" t="s">
        <v>195</v>
      </c>
      <c r="D57" s="1">
        <v>380</v>
      </c>
      <c r="E57" s="7">
        <v>1</v>
      </c>
      <c r="F57" s="1">
        <f t="shared" si="3"/>
        <v>380</v>
      </c>
    </row>
    <row r="58" ht="14.4" customHeight="1" spans="2:6" x14ac:dyDescent="0.25">
      <c r="B58" t="s">
        <v>328</v>
      </c>
      <c r="D58" s="1">
        <v>980</v>
      </c>
      <c r="E58" s="5">
        <v>1</v>
      </c>
      <c r="F58" s="1">
        <v>890</v>
      </c>
    </row>
    <row r="59" ht="14.4" customHeight="1" spans="6:6" x14ac:dyDescent="0.25">
      <c r="F59" s="16">
        <f>SUM(F43:F58)</f>
        <v>9500</v>
      </c>
    </row>
    <row r="62" ht="14.4" customHeight="1" spans="1:7" x14ac:dyDescent="0.25">
      <c r="A62" s="2" t="s">
        <v>239</v>
      </c>
      <c r="B62" s="2" t="s">
        <v>1</v>
      </c>
      <c r="C62" s="2" t="s">
        <v>2</v>
      </c>
      <c r="D62" s="2" t="s">
        <v>12</v>
      </c>
      <c r="E62" s="6" t="s">
        <v>243</v>
      </c>
      <c r="F62" s="2" t="s">
        <v>241</v>
      </c>
      <c r="G62" s="2" t="s">
        <v>14</v>
      </c>
    </row>
    <row r="63" ht="14.4" customHeight="1" spans="1:7" x14ac:dyDescent="0.25">
      <c r="A63">
        <v>1</v>
      </c>
      <c r="B63" t="s">
        <v>196</v>
      </c>
      <c r="C63" t="s">
        <v>329</v>
      </c>
      <c r="D63" s="1">
        <v>3500</v>
      </c>
      <c r="E63" s="4">
        <v>20</v>
      </c>
      <c r="F63" s="1">
        <f>D63*E63</f>
        <v>70000</v>
      </c>
      <c r="G63" t="s">
        <v>85</v>
      </c>
    </row>
    <row r="64" ht="14.4" customHeight="1" spans="1:7" x14ac:dyDescent="0.25">
      <c r="A64">
        <v>2</v>
      </c>
      <c r="B64" t="s">
        <v>200</v>
      </c>
      <c r="C64" t="s">
        <v>329</v>
      </c>
      <c r="D64" s="1">
        <v>1200</v>
      </c>
      <c r="E64" s="4">
        <v>20</v>
      </c>
      <c r="F64" s="1">
        <f>D64*E64</f>
        <v>24000</v>
      </c>
      <c r="G64" t="s">
        <v>85</v>
      </c>
    </row>
    <row r="65" ht="14.4" customHeight="1" spans="6:6" x14ac:dyDescent="0.25">
      <c r="F65" s="17">
        <f>SUM(F63:F64)</f>
        <v>94000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8"/>
  <sheetViews>
    <sheetView workbookViewId="0" zoomScale="100" zoomScaleNormal="100">
      <selection activeCell="G34" sqref="G34"/>
    </sheetView>
  </sheetViews>
  <sheetFormatPr defaultRowHeight="14.4" outlineLevelRow="0" outlineLevelCol="0" x14ac:dyDescent="0.3" customHeight="1"/>
  <cols>
    <col min="2" max="2" width="4.88671875" style="4" customWidth="1"/>
    <col min="3" max="3" width="23.33203125" customWidth="1"/>
    <col min="4" max="4" width="7.88671875" customWidth="1"/>
    <col min="5" max="5" width="18" customWidth="1"/>
    <col min="6" max="6" width="9.109375" style="4" customWidth="1"/>
    <col min="7" max="7" width="13.21875" customWidth="1"/>
    <col min="8" max="8" width="45.109375" customWidth="1"/>
    <col min="10" max="10" width="8.44140625" customWidth="1"/>
    <col min="11" max="11" width="2" customWidth="1"/>
    <col min="12" max="12" width="24.6640625" customWidth="1"/>
    <col min="13" max="13" width="5" customWidth="1"/>
    <col min="14" max="14" width="17.6640625" customWidth="1"/>
    <col min="15" max="17" width="9.109375" customWidth="1"/>
    <col min="18" max="18" width="22.5546875" customWidth="1"/>
  </cols>
  <sheetData>
    <row r="1" ht="14.4" customHeight="1" spans="2:2" x14ac:dyDescent="0.25">
      <c r="B1" s="18" t="s">
        <v>330</v>
      </c>
    </row>
    <row r="2" spans="2:18" x14ac:dyDescent="0.25">
      <c r="B2" s="2" t="s">
        <v>0</v>
      </c>
      <c r="C2" s="2" t="s">
        <v>1</v>
      </c>
      <c r="D2" s="2" t="s">
        <v>2</v>
      </c>
      <c r="E2" s="3" t="s">
        <v>12</v>
      </c>
      <c r="F2" s="2" t="s">
        <v>243</v>
      </c>
      <c r="G2" s="2" t="s">
        <v>241</v>
      </c>
      <c r="H2" s="2" t="s">
        <v>14</v>
      </c>
      <c r="K2">
        <v>1</v>
      </c>
      <c r="L2" t="s">
        <v>196</v>
      </c>
      <c r="M2" t="s">
        <v>197</v>
      </c>
      <c r="N2" t="s">
        <v>199</v>
      </c>
      <c r="O2" s="1">
        <v>4150</v>
      </c>
      <c r="P2" s="1"/>
      <c r="Q2" s="1"/>
      <c r="R2" t="s">
        <v>85</v>
      </c>
    </row>
    <row r="3" spans="2:18" x14ac:dyDescent="0.25">
      <c r="B3" s="4">
        <v>1</v>
      </c>
      <c r="C3" t="s">
        <v>331</v>
      </c>
      <c r="D3" t="s">
        <v>26</v>
      </c>
      <c r="E3" s="1">
        <v>400</v>
      </c>
      <c r="F3" s="8">
        <v>6</v>
      </c>
      <c r="G3" s="1">
        <f>E3*F3</f>
        <v>2400</v>
      </c>
      <c r="H3" t="s">
        <v>107</v>
      </c>
      <c r="K3">
        <v>2</v>
      </c>
      <c r="L3" t="s">
        <v>200</v>
      </c>
      <c r="M3" t="s">
        <v>197</v>
      </c>
      <c r="N3" t="s">
        <v>202</v>
      </c>
      <c r="O3" s="1">
        <v>1500</v>
      </c>
      <c r="P3" s="1"/>
      <c r="Q3" s="1"/>
      <c r="R3" t="s">
        <v>85</v>
      </c>
    </row>
    <row r="4" spans="2:13" x14ac:dyDescent="0.25">
      <c r="B4" s="4">
        <v>2</v>
      </c>
      <c r="C4" t="s">
        <v>332</v>
      </c>
      <c r="D4" t="s">
        <v>26</v>
      </c>
      <c r="E4" s="1">
        <v>400</v>
      </c>
      <c r="F4" s="8">
        <v>10</v>
      </c>
      <c r="G4" s="1">
        <f t="shared" ref="G4:G17" si="0">E4*F4</f>
        <v>4000</v>
      </c>
      <c r="H4" t="s">
        <v>107</v>
      </c>
      <c r="M4" s="1"/>
    </row>
    <row r="5" spans="2:13" x14ac:dyDescent="0.25">
      <c r="B5" s="4">
        <v>3</v>
      </c>
      <c r="C5" t="s">
        <v>111</v>
      </c>
      <c r="D5" t="s">
        <v>26</v>
      </c>
      <c r="E5" s="1">
        <v>700</v>
      </c>
      <c r="F5" s="8">
        <v>16</v>
      </c>
      <c r="G5" s="1">
        <f t="shared" si="0"/>
        <v>11200</v>
      </c>
      <c r="H5" t="s">
        <v>107</v>
      </c>
      <c r="M5" s="1"/>
    </row>
    <row r="6" spans="2:13" x14ac:dyDescent="0.25">
      <c r="B6" s="4">
        <v>4</v>
      </c>
      <c r="C6" t="s">
        <v>115</v>
      </c>
      <c r="D6" t="s">
        <v>26</v>
      </c>
      <c r="E6" s="1">
        <v>700</v>
      </c>
      <c r="F6" s="8">
        <v>32</v>
      </c>
      <c r="G6" s="1">
        <f t="shared" si="0"/>
        <v>22400</v>
      </c>
      <c r="H6" t="s">
        <v>107</v>
      </c>
      <c r="M6" s="1"/>
    </row>
    <row r="7" spans="2:13" x14ac:dyDescent="0.25">
      <c r="B7" s="4">
        <v>5</v>
      </c>
      <c r="C7" t="s">
        <v>117</v>
      </c>
      <c r="D7" t="s">
        <v>26</v>
      </c>
      <c r="E7" s="1">
        <v>650</v>
      </c>
      <c r="F7" s="8">
        <v>10</v>
      </c>
      <c r="G7" s="1">
        <f t="shared" si="0"/>
        <v>6500</v>
      </c>
      <c r="H7" t="s">
        <v>107</v>
      </c>
      <c r="M7" s="1"/>
    </row>
    <row r="8" spans="2:13" x14ac:dyDescent="0.25">
      <c r="B8" s="4">
        <v>6</v>
      </c>
      <c r="C8" t="s">
        <v>333</v>
      </c>
      <c r="D8" t="s">
        <v>26</v>
      </c>
      <c r="E8" s="1">
        <v>350</v>
      </c>
      <c r="F8" s="8">
        <v>10</v>
      </c>
      <c r="G8" s="1">
        <f t="shared" si="0"/>
        <v>3500</v>
      </c>
      <c r="H8" t="s">
        <v>107</v>
      </c>
      <c r="M8" s="1"/>
    </row>
    <row r="9" spans="2:13" x14ac:dyDescent="0.25">
      <c r="B9" s="4">
        <v>7</v>
      </c>
      <c r="C9" t="s">
        <v>122</v>
      </c>
      <c r="D9" t="s">
        <v>26</v>
      </c>
      <c r="E9" s="1">
        <v>400</v>
      </c>
      <c r="F9" s="8">
        <v>16</v>
      </c>
      <c r="G9" s="1">
        <f t="shared" si="0"/>
        <v>6400</v>
      </c>
      <c r="H9" t="s">
        <v>107</v>
      </c>
      <c r="M9" s="1"/>
    </row>
    <row r="10" spans="2:13" x14ac:dyDescent="0.25">
      <c r="B10" s="4">
        <v>8</v>
      </c>
      <c r="C10" t="s">
        <v>126</v>
      </c>
      <c r="D10" t="s">
        <v>26</v>
      </c>
      <c r="E10" s="1">
        <v>950</v>
      </c>
      <c r="F10" s="8">
        <v>16</v>
      </c>
      <c r="G10" s="1">
        <f t="shared" si="0"/>
        <v>15200</v>
      </c>
      <c r="H10" t="s">
        <v>107</v>
      </c>
      <c r="M10" s="1"/>
    </row>
    <row r="11" spans="2:13" x14ac:dyDescent="0.25">
      <c r="B11" s="4">
        <v>9</v>
      </c>
      <c r="C11" t="s">
        <v>130</v>
      </c>
      <c r="D11" t="s">
        <v>26</v>
      </c>
      <c r="E11" s="1">
        <v>1300</v>
      </c>
      <c r="F11" s="8">
        <v>16</v>
      </c>
      <c r="G11" s="1">
        <f t="shared" si="0"/>
        <v>20800</v>
      </c>
      <c r="H11" t="s">
        <v>107</v>
      </c>
      <c r="M11" s="1"/>
    </row>
    <row r="12" spans="2:13" x14ac:dyDescent="0.25">
      <c r="B12" s="4">
        <v>10</v>
      </c>
      <c r="C12" t="s">
        <v>334</v>
      </c>
      <c r="D12" t="s">
        <v>26</v>
      </c>
      <c r="E12" s="1">
        <v>2800</v>
      </c>
      <c r="F12" s="8">
        <v>10</v>
      </c>
      <c r="G12" s="1">
        <f t="shared" si="0"/>
        <v>28000</v>
      </c>
      <c r="H12" t="s">
        <v>107</v>
      </c>
      <c r="M12" s="1"/>
    </row>
    <row r="13" spans="2:13" x14ac:dyDescent="0.25">
      <c r="B13" s="4">
        <v>11</v>
      </c>
      <c r="C13" t="s">
        <v>136</v>
      </c>
      <c r="D13" t="s">
        <v>26</v>
      </c>
      <c r="E13" s="1">
        <v>950</v>
      </c>
      <c r="F13" s="8">
        <v>88</v>
      </c>
      <c r="G13" s="1">
        <f t="shared" si="0"/>
        <v>83600</v>
      </c>
      <c r="H13" t="s">
        <v>107</v>
      </c>
      <c r="M13" s="1"/>
    </row>
    <row r="14" spans="2:13" x14ac:dyDescent="0.25">
      <c r="B14" s="4">
        <v>12</v>
      </c>
      <c r="C14" t="s">
        <v>137</v>
      </c>
      <c r="D14" t="s">
        <v>138</v>
      </c>
      <c r="E14" s="1">
        <v>350</v>
      </c>
      <c r="F14" s="8">
        <v>16</v>
      </c>
      <c r="G14" s="1">
        <f t="shared" si="0"/>
        <v>5600</v>
      </c>
      <c r="H14" t="s">
        <v>107</v>
      </c>
      <c r="M14" s="1"/>
    </row>
    <row r="15" spans="2:13" x14ac:dyDescent="0.25">
      <c r="B15" s="4">
        <v>13</v>
      </c>
      <c r="C15" t="s">
        <v>139</v>
      </c>
      <c r="D15" t="s">
        <v>140</v>
      </c>
      <c r="E15" s="1">
        <v>1500</v>
      </c>
      <c r="F15" s="8">
        <v>8</v>
      </c>
      <c r="G15" s="1">
        <f t="shared" si="0"/>
        <v>12000</v>
      </c>
      <c r="H15" t="s">
        <v>107</v>
      </c>
      <c r="M15" s="1"/>
    </row>
    <row r="16" spans="2:13" x14ac:dyDescent="0.25">
      <c r="B16" s="4">
        <v>14</v>
      </c>
      <c r="C16" t="s">
        <v>142</v>
      </c>
      <c r="D16" t="s">
        <v>26</v>
      </c>
      <c r="E16" s="1">
        <v>400</v>
      </c>
      <c r="F16" s="8">
        <v>26</v>
      </c>
      <c r="G16" s="1">
        <f t="shared" si="0"/>
        <v>10400</v>
      </c>
      <c r="H16" t="s">
        <v>107</v>
      </c>
      <c r="M16" s="1"/>
    </row>
    <row r="17" spans="2:13" x14ac:dyDescent="0.25">
      <c r="B17" s="4">
        <v>15</v>
      </c>
      <c r="C17" t="s">
        <v>146</v>
      </c>
      <c r="D17" t="s">
        <v>26</v>
      </c>
      <c r="E17" s="1">
        <v>850</v>
      </c>
      <c r="F17" s="8">
        <v>50</v>
      </c>
      <c r="G17" s="1">
        <f t="shared" si="0"/>
        <v>42500</v>
      </c>
      <c r="H17" t="s">
        <v>107</v>
      </c>
      <c r="M17" s="1"/>
    </row>
    <row r="18" ht="16.2" customHeight="1" spans="6:7" x14ac:dyDescent="0.25">
      <c r="F18" s="8"/>
      <c r="G18" s="12">
        <f>SUM(G3:G17)</f>
        <v>274500</v>
      </c>
    </row>
    <row r="19" ht="16.2" customHeight="1" spans="6:7" x14ac:dyDescent="0.25">
      <c r="F19" s="8"/>
      <c r="G19" s="19"/>
    </row>
    <row r="20" ht="14.4" customHeight="1" spans="2:2" x14ac:dyDescent="0.25">
      <c r="B20" s="20" t="s">
        <v>335</v>
      </c>
    </row>
    <row r="21" ht="14.4" customHeight="1" spans="2:8" x14ac:dyDescent="0.25">
      <c r="B21" s="2" t="s">
        <v>0</v>
      </c>
      <c r="C21" s="2" t="s">
        <v>1</v>
      </c>
      <c r="D21" s="2" t="s">
        <v>2</v>
      </c>
      <c r="E21" s="3" t="s">
        <v>12</v>
      </c>
      <c r="F21" s="2" t="s">
        <v>243</v>
      </c>
      <c r="G21" s="2" t="s">
        <v>241</v>
      </c>
      <c r="H21" s="2" t="s">
        <v>14</v>
      </c>
    </row>
    <row r="22" ht="14.4" customHeight="1" spans="2:8" x14ac:dyDescent="0.25">
      <c r="B22" s="4">
        <v>1</v>
      </c>
      <c r="C22" s="18" t="s">
        <v>150</v>
      </c>
      <c r="D22" t="s">
        <v>26</v>
      </c>
      <c r="E22" s="1">
        <v>650</v>
      </c>
      <c r="F22" s="4">
        <v>4</v>
      </c>
      <c r="G22" s="1">
        <f>F22*E22</f>
        <v>2600</v>
      </c>
      <c r="H22" t="s">
        <v>107</v>
      </c>
    </row>
    <row r="23" ht="14.4" customHeight="1" spans="2:8" x14ac:dyDescent="0.25">
      <c r="B23" s="4">
        <v>2</v>
      </c>
      <c r="C23" s="18">
        <v>9010815000</v>
      </c>
      <c r="D23" t="s">
        <v>26</v>
      </c>
      <c r="E23" s="1">
        <v>400</v>
      </c>
      <c r="F23" s="4">
        <v>12</v>
      </c>
      <c r="G23" s="1">
        <f t="shared" ref="G23:G27" si="1">F23*E23</f>
        <v>4800</v>
      </c>
      <c r="H23" t="s">
        <v>107</v>
      </c>
    </row>
    <row r="24" ht="14.4" customHeight="1" spans="2:8" x14ac:dyDescent="0.25">
      <c r="B24" s="4">
        <v>3</v>
      </c>
      <c r="C24" s="18" t="s">
        <v>158</v>
      </c>
      <c r="D24" t="s">
        <v>26</v>
      </c>
      <c r="E24" s="1">
        <v>500</v>
      </c>
      <c r="F24" s="4">
        <v>4</v>
      </c>
      <c r="G24" s="1">
        <f t="shared" si="1"/>
        <v>2000</v>
      </c>
      <c r="H24" t="s">
        <v>107</v>
      </c>
    </row>
    <row r="25" ht="14.4" customHeight="1" spans="2:8" x14ac:dyDescent="0.25">
      <c r="B25" s="4">
        <v>4</v>
      </c>
      <c r="C25" s="18" t="s">
        <v>161</v>
      </c>
      <c r="D25" t="s">
        <v>26</v>
      </c>
      <c r="E25" s="1">
        <v>3500</v>
      </c>
      <c r="F25" s="4">
        <v>2</v>
      </c>
      <c r="G25" s="1">
        <f t="shared" si="1"/>
        <v>7000</v>
      </c>
      <c r="H25" t="s">
        <v>107</v>
      </c>
    </row>
    <row r="26" ht="14.4" customHeight="1" spans="2:8" x14ac:dyDescent="0.25">
      <c r="B26" s="4">
        <v>5</v>
      </c>
      <c r="C26" s="18" t="s">
        <v>165</v>
      </c>
      <c r="D26" t="s">
        <v>26</v>
      </c>
      <c r="E26" s="1">
        <v>400</v>
      </c>
      <c r="F26" s="4">
        <v>2</v>
      </c>
      <c r="G26" s="1">
        <f t="shared" si="1"/>
        <v>800</v>
      </c>
      <c r="H26" t="s">
        <v>107</v>
      </c>
    </row>
    <row r="27" ht="14.4" customHeight="1" spans="2:8" x14ac:dyDescent="0.25">
      <c r="B27" s="4">
        <v>6</v>
      </c>
      <c r="C27" s="18" t="s">
        <v>168</v>
      </c>
      <c r="D27" t="s">
        <v>26</v>
      </c>
      <c r="E27" s="1">
        <v>1200</v>
      </c>
      <c r="F27" s="4">
        <v>6</v>
      </c>
      <c r="G27" s="1">
        <f t="shared" si="1"/>
        <v>7200</v>
      </c>
      <c r="H27" t="s">
        <v>107</v>
      </c>
    </row>
    <row r="28" ht="14.4" customHeight="1" spans="7:7" x14ac:dyDescent="0.25">
      <c r="G28" s="12">
        <f>SUM(G22:G27)</f>
        <v>24400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Price</vt:lpstr>
      <vt:lpstr>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2025-10-04T12:59:40Z</dcterms:created>
  <dcterms:modified xsi:type="dcterms:W3CDTF">2025-11-01T05:25:40Z</dcterms:modified>
</cp:coreProperties>
</file>